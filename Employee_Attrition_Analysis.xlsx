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ata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<sst xmlns="http://schemas.openxmlformats.org/spreadsheetml/2006/main" count="1575" uniqueCount="360">
  <si>
    <t xml:space="preserve">Employee Attrition Analysis (Excel)</t>
  </si>
  <si>
    <t xml:space="preserve">Goal: find out WHO is leaving the company and WHY, so HR can reduce attrition.</t>
  </si>
  <si>
    <t xml:space="preserve">Sheets</t>
  </si>
  <si>
    <t xml:space="preserve">Dashboard - pick a department in the yellow cell and every number and chart updates.</t>
  </si>
  <si>
    <t xml:space="preserve">Data - 300 employee records (Excel Table). Tenure Group and Salary Band are calculated with formulas.</t>
  </si>
  <si>
    <t xml:space="preserve">Analysis - summary tables built with COUNTIFS, AVERAGEIFS, IF and INDEX/MATCH.</t>
  </si>
  <si>
    <t xml:space="preserve">Key terms</t>
  </si>
  <si>
    <t xml:space="preserve">Attrition = an employee leaving the company.   Attrition Rate = Employees who left / Total employees.</t>
  </si>
  <si>
    <t xml:space="preserve">Data note</t>
  </si>
  <si>
    <t xml:space="preserve">All data is fictional and was created for this practice project. It is not copied from any company or dataset.</t>
  </si>
  <si>
    <t xml:space="preserve">Salary is monthly salary in rupees (assumed for this practice data).</t>
  </si>
  <si>
    <t xml:space="preserve">Excel skills used</t>
  </si>
  <si>
    <t xml:space="preserve">Excel Table, IF formulas, COUNTIFS, AVERAGEIFS, INDEX/MATCH, Data Validation dropdown, Conditional Formatting, Charts, Dashboard design.</t>
  </si>
  <si>
    <t xml:space="preserve">Employee Attrition Dashboard</t>
  </si>
  <si>
    <t xml:space="preserve">Department:</t>
  </si>
  <si>
    <t xml:space="preserve">All</t>
  </si>
  <si>
    <t xml:space="preserve">&lt;- pick from the dropdown (first chart always shows all departments)</t>
  </si>
  <si>
    <t xml:space="preserve">Employees</t>
  </si>
  <si>
    <t xml:space="preserve">Employees Left</t>
  </si>
  <si>
    <t xml:space="preserve">Attrition Rate</t>
  </si>
  <si>
    <t xml:space="preserve">Avg Monthly Salary</t>
  </si>
  <si>
    <t xml:space="preserve">Avg Years at Company</t>
  </si>
  <si>
    <t xml:space="preserve">Key Insights (update automatically)</t>
  </si>
  <si>
    <t xml:space="preserve">Employee ID</t>
  </si>
  <si>
    <t xml:space="preserve">Department</t>
  </si>
  <si>
    <t xml:space="preserve">Gender</t>
  </si>
  <si>
    <t xml:space="preserve">Age</t>
  </si>
  <si>
    <t xml:space="preserve">Years at Company</t>
  </si>
  <si>
    <t xml:space="preserve">Monthly Salary</t>
  </si>
  <si>
    <t xml:space="preserve">Job Satisfaction</t>
  </si>
  <si>
    <t xml:space="preserve">Overtime</t>
  </si>
  <si>
    <t xml:space="preserve">Attrition</t>
  </si>
  <si>
    <t xml:space="preserve">Tenure Group</t>
  </si>
  <si>
    <t xml:space="preserve">Salary Band</t>
  </si>
  <si>
    <t xml:space="preserve">Notes</t>
  </si>
  <si>
    <t xml:space="preserve">E1001</t>
  </si>
  <si>
    <t xml:space="preserve">Operations</t>
  </si>
  <si>
    <t xml:space="preserve">Female</t>
  </si>
  <si>
    <t xml:space="preserve">Yes</t>
  </si>
  <si>
    <t xml:space="preserve">Job Satisfaction: 1 = Low, 4 = High. Attrition: Yes = employee left.</t>
  </si>
  <si>
    <t xml:space="preserve">E1002</t>
  </si>
  <si>
    <t xml:space="preserve">Sales</t>
  </si>
  <si>
    <t xml:space="preserve">Male</t>
  </si>
  <si>
    <t xml:space="preserve">No</t>
  </si>
  <si>
    <t xml:space="preserve">Tenure Group and Salary Band are formulas. Salary bands: Low &lt; 35,000; Medium &lt; 70,000; High 70,000+.</t>
  </si>
  <si>
    <t xml:space="preserve">E1003</t>
  </si>
  <si>
    <t xml:space="preserve">Marketing</t>
  </si>
  <si>
    <t xml:space="preserve">E1004</t>
  </si>
  <si>
    <t xml:space="preserve">Finance</t>
  </si>
  <si>
    <t xml:space="preserve">E1005</t>
  </si>
  <si>
    <t xml:space="preserve">E1006</t>
  </si>
  <si>
    <t xml:space="preserve">IT</t>
  </si>
  <si>
    <t xml:space="preserve">E1007</t>
  </si>
  <si>
    <t xml:space="preserve">E1008</t>
  </si>
  <si>
    <t xml:space="preserve">HR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</si>
  <si>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</si>
  <si>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</si>
  <si>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</si>
  <si>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</si>
  <si>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</si>
  <si>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</si>
  <si>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</si>
  <si>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</si>
  <si>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</si>
  <si>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</si>
  <si>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</si>
  <si>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</si>
  <si>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</si>
  <si>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</si>
  <si>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</si>
  <si>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</si>
  <si>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</si>
  <si>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</si>
  <si>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</si>
  <si>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</si>
  <si>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</si>
  <si>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</si>
  <si>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</si>
  <si>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</si>
  <si>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</si>
  <si>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</si>
  <si>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</si>
  <si>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</si>
  <si>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</si>
  <si>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</si>
  <si>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</si>
  <si>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</si>
  <si>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</si>
  <si>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</si>
  <si>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</si>
  <si>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</si>
  <si>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</si>
  <si>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</si>
  <si>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</si>
  <si>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</si>
  <si>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</si>
  <si>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</si>
  <si>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</si>
  <si>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</si>
  <si>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</si>
  <si>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</si>
  <si>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</si>
  <si>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</si>
  <si>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</si>
  <si>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</si>
  <si>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</si>
  <si>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</si>
  <si>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</si>
  <si>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</si>
  <si>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</si>
  <si>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</si>
  <si>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</si>
  <si>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</si>
  <si>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</si>
  <si>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</si>
  <si>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</si>
  <si>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</si>
  <si>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</si>
  <si>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</si>
  <si>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</si>
  <si>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</si>
  <si>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</si>
  <si>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</si>
  <si>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</si>
  <si>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</si>
  <si>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</si>
  <si>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</si>
  <si>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</si>
  <si>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</si>
  <si>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</si>
  <si>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</si>
  <si>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</si>
  <si>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</si>
  <si>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</si>
  <si>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</si>
  <si>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</si>
  <si>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</si>
  <si>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</si>
  <si>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</si>
  <si>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</si>
  <si>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</si>
  <si>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</si>
  <si>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</si>
  <si>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</si>
  <si>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</si>
  <si>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</si>
  <si>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</si>
  <si>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</si>
  <si>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</si>
  <si>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</si>
  <si>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</si>
  <si>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</si>
  <si>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</si>
  <si>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</si>
  <si>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</si>
  <si>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</si>
  <si>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</si>
  <si>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</si>
  <si>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</si>
  <si>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</si>
  <si>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</si>
  <si>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</si>
  <si>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</si>
  <si>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</si>
  <si>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</si>
  <si>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</si>
  <si>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</si>
  <si>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</si>
  <si>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</si>
  <si>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</si>
  <si>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</si>
  <si>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</si>
  <si>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</si>
  <si>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</si>
  <si>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</si>
  <si>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</si>
  <si>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</si>
  <si>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</si>
  <si>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</si>
  <si>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</si>
  <si>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</si>
  <si>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</si>
  <si>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</si>
  <si>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</si>
  <si>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</si>
  <si>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</si>
  <si>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</si>
  <si>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</si>
  <si>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</si>
  <si>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</si>
  <si>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</si>
  <si>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</si>
  <si>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</si>
  <si>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</si>
  <si>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</si>
  <si>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</si>
  <si>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</si>
  <si>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</si>
  <si>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</si>
  <si>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</si>
  <si>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</si>
  <si>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</si>
  <si>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</si>
  <si>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</si>
  <si>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</si>
  <si>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</si>
  <si>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</si>
  <si>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</si>
  <si>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</si>
  <si>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</si>
  <si>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</si>
  <si>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</si>
  <si>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</si>
  <si>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</si>
  <si>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</si>
  <si>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</si>
  <si>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</si>
  <si>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</si>
  <si>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</si>
  <si>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</si>
  <si>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</si>
  <si>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</si>
  <si>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</si>
  <si>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</si>
  <si>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</si>
  <si>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</si>
  <si>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</si>
  <si>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</si>
  <si>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</si>
  <si>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</si>
  <si>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</si>
  <si>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</si>
  <si>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</si>
  <si>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</si>
  <si>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</si>
  <si>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</si>
  <si>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</si>
  <si>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</si>
  <si>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</si>
  <si>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</si>
  <si>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</si>
  <si>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</si>
  <si>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</si>
  <si>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</si>
  <si>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</si>
  <si>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</si>
  <si>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</si>
  <si>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</si>
  <si>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</si>
  <si>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</si>
  <si>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</si>
  <si>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</si>
  <si>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</si>
  <si>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</si>
  <si>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</si>
  <si>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</si>
  <si>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</si>
  <si>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</si>
  <si>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</si>
  <si>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</si>
  <si>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</si>
  <si>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</si>
  <si>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</si>
  <si>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</si>
  <si>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</si>
  <si>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</si>
  <si>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</si>
  <si>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</si>
  <si>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</si>
  <si>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E1223</t>
  </si>
  <si>
    <t xml:space="preserve">E1224</t>
  </si>
  <si>
    <t xml:space="preserve">E1225</t>
  </si>
  <si>
    <t xml:space="preserve">E1226</t>
  </si>
  <si>
    <t xml:space="preserve">E1227</t>
  </si>
  <si>
    <t xml:space="preserve">E1228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</si>
  <si>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</si>
  <si>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</si>
  <si>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</si>
  <si>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</si>
  <si>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</si>
  <si>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</si>
  <si>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E1235</t>
  </si>
  <si>
    <t xml:space="preserve">E1236</t>
  </si>
  <si>
    <t xml:space="preserve">E1237</t>
  </si>
  <si>
    <t xml:space="preserve">E1238</t>
  </si>
  <si>
    <t xml:space="preserve">E1239</t>
  </si>
  <si>
    <t xml:space="preserve">E1240</t>
  </si>
  <si>
    <t xml:space="preserve">E1241</t>
  </si>
  <si>
    <t xml:space="preserve">E1242</t>
  </si>
  <si>
    <t xml:space="preserve">E1243</t>
  </si>
  <si>
    <t xml:space="preserve">E1244</t>
  </si>
  <si>
    <t xml:space="preserve">E1245</t>
  </si>
  <si>
    <t xml:space="preserve">E1246</t>
  </si>
  <si>
    <t xml:space="preserve">E1247</t>
  </si>
  <si>
    <t xml:space="preserve">E1248</t>
  </si>
  <si>
    <t xml:space="preserve">E1249</t>
  </si>
  <si>
    <t xml:space="preserve">E1250</t>
  </si>
  <si>
    <t xml:space="preserve">E1251</t>
  </si>
  <si>
    <t xml:space="preserve">E1252</t>
  </si>
  <si>
    <t xml:space="preserve">E1253</t>
  </si>
  <si>
    <t xml:space="preserve">E1254</t>
  </si>
  <si>
    <t xml:space="preserve">E1255</t>
  </si>
  <si>
    <t xml:space="preserve">E1256</t>
  </si>
  <si>
    <t xml:space="preserve">E1257</t>
  </si>
  <si>
    <t xml:space="preserve">E1258</t>
  </si>
  <si>
    <t xml:space="preserve">E1259</t>
  </si>
  <si>
    <t xml:space="preserve">E1260</t>
  </si>
  <si>
    <t xml:space="preserve">E1261</t>
  </si>
  <si>
    <t xml:space="preserve">E1262</t>
  </si>
  <si>
    <t xml:space="preserve">E1263</t>
  </si>
  <si>
    <t xml:space="preserve">E1264</t>
  </si>
  <si>
    <t xml:space="preserve">E1265</t>
  </si>
  <si>
    <t xml:space="preserve">E1266</t>
  </si>
  <si>
    <t xml:space="preserve">E1267</t>
  </si>
  <si>
    <t xml:space="preserve">E1268</t>
  </si>
  <si>
    <t xml:space="preserve">E1269</t>
  </si>
  <si>
    <t xml:space="preserve">E1270</t>
  </si>
  <si>
    <t xml:space="preserve">E1271</t>
  </si>
  <si>
    <t xml:space="preserve">E1272</t>
  </si>
  <si>
    <t xml:space="preserve">E1273</t>
  </si>
  <si>
    <t xml:space="preserve">E1274</t>
  </si>
  <si>
    <t xml:space="preserve">E1275</t>
  </si>
  <si>
    <t xml:space="preserve">E1276</t>
  </si>
  <si>
    <t xml:space="preserve">E1277</t>
  </si>
  <si>
    <t xml:space="preserve">E1278</t>
  </si>
  <si>
    <t xml:space="preserve">E1279</t>
  </si>
  <si>
    <t xml:space="preserve">E1280</t>
  </si>
  <si>
    <t xml:space="preserve">E1281</t>
  </si>
  <si>
    <t xml:space="preserve">E1282</t>
  </si>
  <si>
    <t xml:space="preserve">E1283</t>
  </si>
  <si>
    <t xml:space="preserve">E1284</t>
  </si>
  <si>
    <t xml:space="preserve">E1285</t>
  </si>
  <si>
    <t xml:space="preserve">E1286</t>
  </si>
  <si>
    <t xml:space="preserve">E1287</t>
  </si>
  <si>
    <t xml:space="preserve">E1288</t>
  </si>
  <si>
    <t xml:space="preserve">E1289</t>
  </si>
  <si>
    <t xml:space="preserve">E1290</t>
  </si>
  <si>
    <t xml:space="preserve">E1291</t>
  </si>
  <si>
    <t xml:space="preserve">E1292</t>
  </si>
  <si>
    <t xml:space="preserve">E1293</t>
  </si>
  <si>
    <t xml:space="preserve">E1294</t>
  </si>
  <si>
    <t xml:space="preserve">E1295</t>
  </si>
  <si>
    <t xml:space="preserve">E1296</t>
  </si>
  <si>
    <t xml:space="preserve">E1297</t>
  </si>
  <si>
    <t xml:space="preserve">E1298</t>
  </si>
  <si>
    <t xml:space="preserve">E1299</t>
  </si>
  <si>
    <t xml:space="preserve">E1300</t>
  </si>
  <si>
    <t xml:space="preserve">Summary Tables (all formulas)</t>
  </si>
  <si>
    <t xml:space="preserve">Department filter in use:</t>
  </si>
  <si>
    <t xml:space="preserve">("*" means all departments)</t>
  </si>
  <si>
    <t xml:space="preserve">Left</t>
  </si>
  <si>
    <t xml:space="preserve">Attrition %</t>
  </si>
  <si>
    <t xml:space="preserve">Job Satisfaction (1=Low, 4=High)</t>
  </si>
  <si>
    <t xml:space="preserve">0-2 yrs</t>
  </si>
  <si>
    <t xml:space="preserve">3-5 yrs</t>
  </si>
  <si>
    <t xml:space="preserve">6-10 yrs</t>
  </si>
  <si>
    <t xml:space="preserve">10+ yrs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</si>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</sst>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Sales</c:v>
                </c:pt>
                <c:pt idx="1">
                  <c:v>IT</c:v>
                </c:pt>
                <c:pt idx="2">
                  <c:v>HR</c:v>
                </c:pt>
                <c:pt idx="3">
                  <c:v>Finance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Analysis!$D$5:$D$10</c:f>
              <c:numCache>
                <c:formatCode>0.0%</c:formatCode>
                <c:ptCount val="6"/>
                <c:pt idx="0">
                  <c:v>0.328125</c:v>
                </c:pt>
                <c:pt idx="1">
                  <c:v>0.240740740740741</c:v>
                </c:pt>
                <c:pt idx="2">
                  <c:v>0.192307692307692</c:v>
                </c:pt>
                <c:pt idx="3">
                  <c:v>0.170731707317073</c:v>
                </c:pt>
                <c:pt idx="4">
                  <c:v>0.235294117647059</c:v>
                </c:pt>
                <c:pt idx="5">
                  <c:v>0.25531914893617</c:v>
                </c:pt>
              </c:numCache>
            </c:numRef>
          </c:val>
        </c:ser>
        <c:gapWidth val="150"/>
        <c:overlap val="0"/>
        <c:axId val="75320423"/>
        <c:axId val="67374903"/>
      </c:barChart>
      <c:catAx>
        <c:axId val="7532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4903"/>
        <c:crosses val="autoZero"/>
        <c:auto val="1"/>
        <c:lblAlgn val="ctr"/>
        <c:lblOffset val="100"/>
        <c:noMultiLvlLbl val="0"/>
      </c:catAx>
      <c:valAx>
        <c:axId val="673749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204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Analysis!D13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Analysis!$D$14:$D$15</c:f>
              <c:numCache>
                <c:formatCode>0.0%</c:formatCode>
                <c:ptCount val="2"/>
                <c:pt idx="0">
                  <c:v>0.4</c:v>
                </c:pt>
                <c:pt idx="1">
                  <c:v>0.17</c:v>
                </c:pt>
              </c:numCache>
            </c:numRef>
          </c:val>
        </c:ser>
        <c:gapWidth val="150"/>
        <c:overlap val="0"/>
        <c:axId val="62668651"/>
        <c:axId val="46888273"/>
      </c:barChart>
      <c:catAx>
        <c:axId val="62668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88273"/>
        <c:crosses val="autoZero"/>
        <c:auto val="1"/>
        <c:lblAlgn val="ctr"/>
        <c:lblOffset val="100"/>
        <c:noMultiLvlLbl val="0"/>
      </c:catAx>
      <c:valAx>
        <c:axId val="4688827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68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Analysis!D18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Analysis!$D$19:$D$22</c:f>
              <c:numCache>
                <c:formatCode>0.0%</c:formatCode>
                <c:ptCount val="4"/>
                <c:pt idx="0">
                  <c:v>0.342857142857143</c:v>
                </c:pt>
                <c:pt idx="1">
                  <c:v>0.297297297297297</c:v>
                </c:pt>
                <c:pt idx="2">
                  <c:v>0.245762711864407</c:v>
                </c:pt>
                <c:pt idx="3">
                  <c:v>0.150684931506849</c:v>
                </c:pt>
              </c:numCache>
            </c:numRef>
          </c:val>
        </c:ser>
        <c:gapWidth val="150"/>
        <c:overlap val="0"/>
        <c:axId val="65464346"/>
        <c:axId val="39235304"/>
      </c:barChart>
      <c:catAx>
        <c:axId val="65464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35304"/>
        <c:crosses val="autoZero"/>
        <c:auto val="1"/>
        <c:lblAlgn val="ctr"/>
        <c:lblOffset val="100"/>
        <c:noMultiLvlLbl val="0"/>
      </c:catAx>
      <c:valAx>
        <c:axId val="3923530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64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Analysis!D25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Analysis!$A$26:$A$29</c:f>
              <c:strCache>
                <c:ptCount val="4"/>
                <c:pt idx="0">
                  <c:v>0-2 yrs</c:v>
                </c:pt>
                <c:pt idx="1">
                  <c:v>3-5 yrs</c:v>
                </c:pt>
                <c:pt idx="2">
                  <c:v>6-10 yrs</c:v>
                </c:pt>
                <c:pt idx="3">
                  <c:v>10+ yrs</c:v>
                </c:pt>
              </c:strCache>
            </c:strRef>
          </c:cat>
          <c:val>
            <c:numRef>
              <c:f>Analysis!$D$26:$D$29</c:f>
              <c:numCache>
                <c:formatCode>0.0%</c:formatCode>
                <c:ptCount val="4"/>
                <c:pt idx="0">
                  <c:v>0.352112676056338</c:v>
                </c:pt>
                <c:pt idx="1">
                  <c:v>0.161764705882353</c:v>
                </c:pt>
                <c:pt idx="2">
                  <c:v>0.222222222222222</c:v>
                </c:pt>
                <c:pt idx="3">
                  <c:v>0.253521126760563</c:v>
                </c:pt>
              </c:numCache>
            </c:numRef>
          </c:val>
        </c:ser>
        <c:gapWidth val="150"/>
        <c:overlap val="0"/>
        <c:axId val="21724962"/>
        <c:axId val="60673936"/>
      </c:barChart>
      <c:catAx>
        <c:axId val="21724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73936"/>
        <c:crosses val="autoZero"/>
        <c:auto val="1"/>
        <c:lblAlgn val="ctr"/>
        <c:lblOffset val="100"/>
        <c:noMultiLvlLbl val="0"/>
      </c:catAx>
      <c:valAx>
        <c:axId val="6067393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24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100800</xdr:rowOff>
    </xdr:from>
    <xdr:to>
      <xdr:col>4</xdr:col>
      <xdr:colOff>372600</xdr:colOff>
      <xdr:row>25</xdr:row>
      <xdr:rowOff>133560</xdr:rowOff>
    </xdr:to>
    <xdr:graphicFrame>
      <xdr:nvGraphicFramePr>
        <xdr:cNvPr id="0" name="Chart 1"/>
        <xdr:cNvGraphicFramePr/>
      </xdr:nvGraphicFramePr>
      <xdr:xfrm>
        <a:off x="0" y="2286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100800</xdr:rowOff>
    </xdr:from>
    <xdr:to>
      <xdr:col>9</xdr:col>
      <xdr:colOff>372240</xdr:colOff>
      <xdr:row>25</xdr:row>
      <xdr:rowOff>133560</xdr:rowOff>
    </xdr:to>
    <xdr:graphicFrame>
      <xdr:nvGraphicFramePr>
        <xdr:cNvPr id="1" name="Chart 2"/>
        <xdr:cNvGraphicFramePr/>
      </xdr:nvGraphicFramePr>
      <xdr:xfrm>
        <a:off x="4933800" y="2286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101160</xdr:rowOff>
    </xdr:from>
    <xdr:to>
      <xdr:col>4</xdr:col>
      <xdr:colOff>372600</xdr:colOff>
      <xdr:row>41</xdr:row>
      <xdr:rowOff>133560</xdr:rowOff>
    </xdr:to>
    <xdr:graphicFrame>
      <xdr:nvGraphicFramePr>
        <xdr:cNvPr id="2" name="Chart 3"/>
        <xdr:cNvGraphicFramePr/>
      </xdr:nvGraphicFramePr>
      <xdr:xfrm>
        <a:off x="0" y="5334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101160</xdr:rowOff>
    </xdr:from>
    <xdr:to>
      <xdr:col>9</xdr:col>
      <xdr:colOff>372240</xdr:colOff>
      <xdr:row>41</xdr:row>
      <xdr:rowOff>133560</xdr:rowOff>
    </xdr:to>
    <xdr:graphicFrame>
      <xdr:nvGraphicFramePr>
        <xdr:cNvPr id="3" name="Chart 4"/>
        <xdr:cNvGraphicFramePr/>
      </xdr:nvGraphicFramePr>
      <xdr:xfrm>
        <a:off x="4933800" y="5334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s" displayName="Employees" ref="A1:K301" headerRowCount="1" totalsRowCount="0" totalsRowShown="0">
  <autoFilter ref="A1:K301"/>
  <tableColumns count="11">
    <tableColumn id="1" name="Employee ID"/>
    <tableColumn id="2" name="Department"/>
    <tableColumn id="3" name="Gender"/>
    <tableColumn id="4" name="Age"/>
    <tableColumn id="5" name="Years at Company"/>
    <tableColumn id="6" name="Monthly Salary"/>
    <tableColumn id="7" name="Job Satisfaction"/>
    <tableColumn id="8" name="Overtime"/>
    <tableColumn id="9" name="Attrition"/>
    <tableColumn id="10" name="Tenure Group"/>
    <tableColumn id="11" name="Salary 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9.7" hidden="false" customHeight="false" outlineLevel="0" collapsed="false">
      <c r="A1" s="1" t="s">
        <v>13</v>
      </c>
    </row>
    <row r="3" customFormat="false" ht="15" hidden="false" customHeight="false" outlineLevel="0" collapsed="false">
      <c r="A3" s="3" t="s">
        <v>14</v>
      </c>
      <c r="B3" s="4" t="s">
        <v>15</v>
      </c>
      <c r="C3" s="5" t="s">
        <v>16</v>
      </c>
    </row>
    <row r="4" customFormat="false" ht="15" hidden="false" customHeight="false" outlineLevel="0" collapsed="false">
      <c r="A4" s="6" t="s">
        <v>17</v>
      </c>
      <c r="B4" s="6"/>
      <c r="C4" s="6" t="s">
        <v>18</v>
      </c>
      <c r="D4" s="6"/>
      <c r="E4" s="6" t="s">
        <v>19</v>
      </c>
      <c r="F4" s="6"/>
      <c r="G4" s="6" t="s">
        <v>20</v>
      </c>
      <c r="H4" s="6"/>
      <c r="I4" s="6" t="s">
        <v>21</v>
      </c>
      <c r="J4" s="6"/>
    </row>
    <row r="5" customFormat="false" ht="17.35" hidden="false" customHeight="false" outlineLevel="0" collapsed="false">
      <c r="A5" s="7" t="n">
        <f aca="false">COUNTIFS(Data!$B$2:$B$301,Analysis!$B$2)</f>
        <v>300</v>
      </c>
      <c r="B5" s="7"/>
      <c r="C5" s="7" t="n">
        <f aca="false">COUNTIFS(Data!$B$2:$B$301,Analysis!$B$2,Data!$I$2:$I$301,"Yes")</f>
        <v>74</v>
      </c>
      <c r="D5" s="7"/>
      <c r="E5" s="8" t="n">
        <f aca="false">IFERROR(C5/A5,0)</f>
        <v>0.246666666666667</v>
      </c>
      <c r="F5" s="8"/>
      <c r="G5" s="7" t="n">
        <f aca="false">IFERROR(AVERAGEIFS(Data!$F$2:$F$301,Data!$B$2:$B$301,Analysis!$B$2),0)</f>
        <v>61672.6666666667</v>
      </c>
      <c r="H5" s="7"/>
      <c r="I5" s="9" t="n">
        <f aca="false">IFERROR(AVERAGEIFS(Data!$E$2:$E$301,Data!$B$2:$B$301,Analysis!$B$2),0)</f>
        <v>6.53</v>
      </c>
      <c r="J5" s="9"/>
    </row>
    <row r="7" customFormat="false" ht="15" hidden="false" customHeight="false" outlineLevel="0" collapsed="false">
      <c r="A7" s="3" t="s">
        <v>22</v>
      </c>
    </row>
    <row r="8" customFormat="false" ht="15" hidden="false" customHeight="false" outlineLevel="0" collapsed="false">
      <c r="A8" s="2" t="str">
        <f aca="false">"Highest attrition department: "&amp;INDEX(Analysis!$A$5:$A$10,MATCH(MAX(Analysis!$D$5:$D$10),Analysis!$D$5:$D$10,0))&amp;" ("&amp;TEXT(MAX(Analysis!$D$5:$D$10),"0.0%")&amp;")"</f>
        <v>Highest attrition department: Sales (32.8%)</v>
      </c>
    </row>
    <row r="9" customFormat="false" ht="15" hidden="false" customHeight="false" outlineLevel="0" collapsed="false">
      <c r="A9" s="2" t="str">
        <f aca="false">"Overtime staff leave at "&amp;TEXT(Analysis!D14,"0.0%")&amp;" vs "&amp;TEXT(Analysis!D15,"0.0%")&amp;" for staff without overtime"</f>
        <v>Overtime staff leave at 40.0% vs 17.0% for staff without overtime</v>
      </c>
    </row>
    <row r="10" customFormat="false" ht="15" hidden="false" customHeight="false" outlineLevel="0" collapsed="false">
      <c r="A10" s="2" t="str">
        <f aca="false">"Satisfaction 1 (low) attrition: "&amp;TEXT(Analysis!D19,"0.0%")&amp;" vs satisfaction 4 (high): "&amp;TEXT(Analysis!D22,"0.0%")</f>
        <v>Satisfaction 1 (low) attrition: 34.3% vs satisfaction 4 (high): 15.1%</v>
      </c>
    </row>
    <row r="11" customFormat="false" ht="15" hidden="false" customHeight="false" outlineLevel="0" collapsed="false">
      <c r="A11" s="2" t="str">
        <f aca="false">"New joiners (0-2 yrs) attrition: "&amp;TEXT(Analysis!D26,"0.0%")&amp;" vs 10+ yrs: "&amp;TEXT(Analysis!D29,"0.0%")</f>
        <v>New joiners (0-2 yrs) attrition: 35.2% vs 10+ yrs: 25.4%</v>
      </c>
    </row>
  </sheetData>
  <mergeCells count="10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dataValidations count="1">
    <dataValidation allowBlank="false" errorStyle="stop" operator="between" showDropDown="false" showErrorMessage="false" showInputMessage="false" sqref="B3" type="list">
      <formula1>"All,Sales,IT,HR,Finance,Operations,Marketing"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  <c r="M1" s="3" t="s">
        <v>34</v>
      </c>
    </row>
    <row r="2" customFormat="false" ht="15" hidden="false" customHeight="false" outlineLevel="0" collapsed="false">
      <c r="A2" s="11" t="s">
        <v>35</v>
      </c>
      <c r="B2" s="11" t="s">
        <v>36</v>
      </c>
      <c r="C2" s="11" t="s">
        <v>37</v>
      </c>
      <c r="D2" s="11" t="n">
        <v>21</v>
      </c>
      <c r="E2" s="11" t="n">
        <v>1</v>
      </c>
      <c r="F2" s="12" t="n">
        <v>37800</v>
      </c>
      <c r="G2" s="11" t="n">
        <v>2</v>
      </c>
      <c r="H2" s="11" t="s">
        <v>38</v>
      </c>
      <c r="I2" s="11" t="s">
        <v>38</v>
      </c>
      <c r="J2" s="11" t="str">
        <f aca="false">IF(E2&lt;=2,"0-2 yrs",IF(E2&lt;=5,"3-5 yrs",IF(E2&lt;=10,"6-10 yrs","10+ yrs")))</f>
        <v>0-2 yrs</v>
      </c>
      <c r="K2" s="11" t="str">
        <f aca="false">IF(F2&lt;35000,"Low",IF(F2&lt;70000,"Medium","High"))</f>
        <v>Medium</v>
      </c>
      <c r="M2" s="2" t="s">
        <v>39</v>
      </c>
    </row>
    <row r="3" customFormat="false" ht="15" hidden="false" customHeight="false" outlineLevel="0" collapsed="false">
      <c r="A3" s="11" t="s">
        <v>40</v>
      </c>
      <c r="B3" s="11" t="s">
        <v>41</v>
      </c>
      <c r="C3" s="11" t="s">
        <v>42</v>
      </c>
      <c r="D3" s="11" t="n">
        <v>36</v>
      </c>
      <c r="E3" s="11" t="n">
        <v>0</v>
      </c>
      <c r="F3" s="12" t="n">
        <v>55100</v>
      </c>
      <c r="G3" s="11" t="n">
        <v>3</v>
      </c>
      <c r="H3" s="11" t="s">
        <v>38</v>
      </c>
      <c r="I3" s="11" t="s">
        <v>43</v>
      </c>
      <c r="J3" s="11" t="str">
        <f aca="false">IF(E3&lt;=2,"0-2 yrs",IF(E3&lt;=5,"3-5 yrs",IF(E3&lt;=10,"6-10 yrs","10+ yrs")))</f>
        <v>0-2 yrs</v>
      </c>
      <c r="K3" s="11" t="str">
        <f aca="false">IF(F3&lt;35000,"Low",IF(F3&lt;70000,"Medium","High"))</f>
        <v>Medium</v>
      </c>
      <c r="M3" s="2" t="s">
        <v>44</v>
      </c>
    </row>
    <row r="4" customFormat="false" ht="15" hidden="false" customHeight="false" outlineLevel="0" collapsed="false">
      <c r="A4" s="11" t="s">
        <v>45</v>
      </c>
      <c r="B4" s="11" t="s">
        <v>46</v>
      </c>
      <c r="C4" s="11" t="s">
        <v>37</v>
      </c>
      <c r="D4" s="11" t="n">
        <v>27</v>
      </c>
      <c r="E4" s="11" t="n">
        <v>7</v>
      </c>
      <c r="F4" s="12" t="n">
        <v>48700</v>
      </c>
      <c r="G4" s="11" t="n">
        <v>3</v>
      </c>
      <c r="H4" s="11" t="s">
        <v>43</v>
      </c>
      <c r="I4" s="11" t="s">
        <v>43</v>
      </c>
      <c r="J4" s="11" t="str">
        <f aca="false">IF(E4&lt;=2,"0-2 yrs",IF(E4&lt;=5,"3-5 yrs",IF(E4&lt;=10,"6-10 yrs","10+ yrs")))</f>
        <v>6-10 yrs</v>
      </c>
      <c r="K4" s="11" t="str">
        <f aca="false">IF(F4&lt;35000,"Low",IF(F4&lt;70000,"Medium","High"))</f>
        <v>Medium</v>
      </c>
    </row>
    <row r="5" customFormat="false" ht="15" hidden="false" customHeight="false" outlineLevel="0" collapsed="false">
      <c r="A5" s="11" t="s">
        <v>47</v>
      </c>
      <c r="B5" s="11" t="s">
        <v>48</v>
      </c>
      <c r="C5" s="11" t="s">
        <v>42</v>
      </c>
      <c r="D5" s="11" t="n">
        <v>23</v>
      </c>
      <c r="E5" s="11" t="n">
        <v>3</v>
      </c>
      <c r="F5" s="12" t="n">
        <v>62900</v>
      </c>
      <c r="G5" s="11" t="n">
        <v>1</v>
      </c>
      <c r="H5" s="11" t="s">
        <v>43</v>
      </c>
      <c r="I5" s="11" t="s">
        <v>43</v>
      </c>
      <c r="J5" s="11" t="str">
        <f aca="false">IF(E5&lt;=2,"0-2 yrs",IF(E5&lt;=5,"3-5 yrs",IF(E5&lt;=10,"6-10 yrs","10+ yrs")))</f>
        <v>3-5 yrs</v>
      </c>
      <c r="K5" s="11" t="str">
        <f aca="false">IF(F5&lt;35000,"Low",IF(F5&lt;70000,"Medium","High"))</f>
        <v>Medium</v>
      </c>
    </row>
    <row r="6" customFormat="false" ht="15" hidden="false" customHeight="false" outlineLevel="0" collapsed="false">
      <c r="A6" s="11" t="s">
        <v>49</v>
      </c>
      <c r="B6" s="11" t="s">
        <v>41</v>
      </c>
      <c r="C6" s="11" t="s">
        <v>42</v>
      </c>
      <c r="D6" s="11" t="n">
        <v>41</v>
      </c>
      <c r="E6" s="11" t="n">
        <v>14</v>
      </c>
      <c r="F6" s="12" t="n">
        <v>59400</v>
      </c>
      <c r="G6" s="11" t="n">
        <v>1</v>
      </c>
      <c r="H6" s="11" t="s">
        <v>43</v>
      </c>
      <c r="I6" s="11" t="s">
        <v>38</v>
      </c>
      <c r="J6" s="11" t="str">
        <f aca="false">IF(E6&lt;=2,"0-2 yrs",IF(E6&lt;=5,"3-5 yrs",IF(E6&lt;=10,"6-10 yrs","10+ yrs")))</f>
        <v>10+ yrs</v>
      </c>
      <c r="K6" s="11" t="str">
        <f aca="false">IF(F6&lt;35000,"Low",IF(F6&lt;70000,"Medium","High"))</f>
        <v>Medium</v>
      </c>
    </row>
    <row r="7" customFormat="false" ht="15" hidden="false" customHeight="false" outlineLevel="0" collapsed="false">
      <c r="A7" s="11" t="s">
        <v>50</v>
      </c>
      <c r="B7" s="11" t="s">
        <v>51</v>
      </c>
      <c r="C7" s="11" t="s">
        <v>42</v>
      </c>
      <c r="D7" s="11" t="n">
        <v>39</v>
      </c>
      <c r="E7" s="11" t="n">
        <v>14</v>
      </c>
      <c r="F7" s="12" t="n">
        <v>92000</v>
      </c>
      <c r="G7" s="11" t="n">
        <v>4</v>
      </c>
      <c r="H7" s="11" t="s">
        <v>43</v>
      </c>
      <c r="I7" s="11" t="s">
        <v>43</v>
      </c>
      <c r="J7" s="11" t="str">
        <f aca="false">IF(E7&lt;=2,"0-2 yrs",IF(E7&lt;=5,"3-5 yrs",IF(E7&lt;=10,"6-10 yrs","10+ yrs")))</f>
        <v>10+ yrs</v>
      </c>
      <c r="K7" s="11" t="str">
        <f aca="false">IF(F7&lt;35000,"Low",IF(F7&lt;70000,"Medium","High"))</f>
        <v>High</v>
      </c>
    </row>
    <row r="8" customFormat="false" ht="15" hidden="false" customHeight="false" outlineLevel="0" collapsed="false">
      <c r="A8" s="11" t="s">
        <v>52</v>
      </c>
      <c r="B8" s="11" t="s">
        <v>36</v>
      </c>
      <c r="C8" s="11" t="s">
        <v>37</v>
      </c>
      <c r="D8" s="11" t="n">
        <v>42</v>
      </c>
      <c r="E8" s="11" t="n">
        <v>7</v>
      </c>
      <c r="F8" s="12" t="n">
        <v>56300</v>
      </c>
      <c r="G8" s="11" t="n">
        <v>2</v>
      </c>
      <c r="H8" s="11" t="s">
        <v>43</v>
      </c>
      <c r="I8" s="11" t="s">
        <v>43</v>
      </c>
      <c r="J8" s="11" t="str">
        <f aca="false">IF(E8&lt;=2,"0-2 yrs",IF(E8&lt;=5,"3-5 yrs",IF(E8&lt;=10,"6-10 yrs","10+ yrs")))</f>
        <v>6-10 yrs</v>
      </c>
      <c r="K8" s="11" t="str">
        <f aca="false">IF(F8&lt;35000,"Low",IF(F8&lt;70000,"Medium","High"))</f>
        <v>Medium</v>
      </c>
    </row>
    <row r="9" customFormat="false" ht="15" hidden="false" customHeight="false" outlineLevel="0" collapsed="false">
      <c r="A9" s="11" t="s">
        <v>53</v>
      </c>
      <c r="B9" s="11" t="s">
        <v>54</v>
      </c>
      <c r="C9" s="11" t="s">
        <v>42</v>
      </c>
      <c r="D9" s="11" t="n">
        <v>39</v>
      </c>
      <c r="E9" s="11" t="n">
        <v>15</v>
      </c>
      <c r="F9" s="12" t="n">
        <v>70100</v>
      </c>
      <c r="G9" s="11" t="n">
        <v>4</v>
      </c>
      <c r="H9" s="11" t="s">
        <v>38</v>
      </c>
      <c r="I9" s="11" t="s">
        <v>43</v>
      </c>
      <c r="J9" s="11" t="str">
        <f aca="false">IF(E9&lt;=2,"0-2 yrs",IF(E9&lt;=5,"3-5 yrs",IF(E9&lt;=10,"6-10 yrs","10+ yrs")))</f>
        <v>10+ yrs</v>
      </c>
      <c r="K9" s="11" t="str">
        <f aca="false">IF(F9&lt;35000,"Low",IF(F9&lt;70000,"Medium","High"))</f>
        <v>High</v>
      </c>
    </row>
    <row r="10" customFormat="false" ht="15" hidden="false" customHeight="false" outlineLevel="0" collapsed="false">
      <c r="A10" s="11" t="s">
        <v>55</v>
      </c>
      <c r="B10" s="11" t="s">
        <v>51</v>
      </c>
      <c r="C10" s="11" t="s">
        <v>42</v>
      </c>
      <c r="D10" s="11" t="n">
        <v>57</v>
      </c>
      <c r="E10" s="11" t="n">
        <v>15</v>
      </c>
      <c r="F10" s="12" t="n">
        <v>94300</v>
      </c>
      <c r="G10" s="11" t="n">
        <v>4</v>
      </c>
      <c r="H10" s="11" t="s">
        <v>43</v>
      </c>
      <c r="I10" s="11" t="s">
        <v>43</v>
      </c>
      <c r="J10" s="11" t="str">
        <f aca="false">IF(E10&lt;=2,"0-2 yrs",IF(E10&lt;=5,"3-5 yrs",IF(E10&lt;=10,"6-10 yrs","10+ yrs")))</f>
        <v>10+ yrs</v>
      </c>
      <c r="K10" s="11" t="str">
        <f aca="false">IF(F10&lt;35000,"Low",IF(F10&lt;70000,"Medium","High"))</f>
        <v>High</v>
      </c>
    </row>
    <row r="11" customFormat="false" ht="15" hidden="false" customHeight="false" outlineLevel="0" collapsed="false">
      <c r="A11" s="11" t="s">
        <v>56</v>
      </c>
      <c r="B11" s="11" t="s">
        <v>36</v>
      </c>
      <c r="C11" s="11" t="s">
        <v>37</v>
      </c>
      <c r="D11" s="11" t="n">
        <v>48</v>
      </c>
      <c r="E11" s="11" t="n">
        <v>15</v>
      </c>
      <c r="F11" s="12" t="n">
        <v>71700</v>
      </c>
      <c r="G11" s="11" t="n">
        <v>2</v>
      </c>
      <c r="H11" s="11" t="s">
        <v>43</v>
      </c>
      <c r="I11" s="11" t="s">
        <v>38</v>
      </c>
      <c r="J11" s="11" t="str">
        <f aca="false">IF(E11&lt;=2,"0-2 yrs",IF(E11&lt;=5,"3-5 yrs",IF(E11&lt;=10,"6-10 yrs","10+ yrs")))</f>
        <v>10+ yrs</v>
      </c>
      <c r="K11" s="11" t="str">
        <f aca="false">IF(F11&lt;35000,"Low",IF(F11&lt;70000,"Medium","High"))</f>
        <v>High</v>
      </c>
    </row>
    <row r="12" customFormat="false" ht="15" hidden="false" customHeight="false" outlineLevel="0" collapsed="false">
      <c r="A12" s="11" t="s">
        <v>57</v>
      </c>
      <c r="B12" s="11" t="s">
        <v>36</v>
      </c>
      <c r="C12" s="11" t="s">
        <v>42</v>
      </c>
      <c r="D12" s="11" t="n">
        <v>52</v>
      </c>
      <c r="E12" s="11" t="n">
        <v>10</v>
      </c>
      <c r="F12" s="12" t="n">
        <v>55800</v>
      </c>
      <c r="G12" s="11" t="n">
        <v>4</v>
      </c>
      <c r="H12" s="11" t="s">
        <v>38</v>
      </c>
      <c r="I12" s="11" t="s">
        <v>43</v>
      </c>
      <c r="J12" s="11" t="str">
        <f aca="false">IF(E12&lt;=2,"0-2 yrs",IF(E12&lt;=5,"3-5 yrs",IF(E12&lt;=10,"6-10 yrs","10+ yrs")))</f>
        <v>6-10 yrs</v>
      </c>
      <c r="K12" s="11" t="str">
        <f aca="false">IF(F12&lt;35000,"Low",IF(F12&lt;70000,"Medium","High"))</f>
        <v>Medium</v>
      </c>
    </row>
    <row r="13" customFormat="false" ht="15" hidden="false" customHeight="false" outlineLevel="0" collapsed="false">
      <c r="A13" s="11" t="s">
        <v>58</v>
      </c>
      <c r="B13" s="11" t="s">
        <v>51</v>
      </c>
      <c r="C13" s="11" t="s">
        <v>37</v>
      </c>
      <c r="D13" s="11" t="n">
        <v>50</v>
      </c>
      <c r="E13" s="11" t="n">
        <v>0</v>
      </c>
      <c r="F13" s="12" t="n">
        <v>77200</v>
      </c>
      <c r="G13" s="11" t="n">
        <v>4</v>
      </c>
      <c r="H13" s="11" t="s">
        <v>43</v>
      </c>
      <c r="I13" s="11" t="s">
        <v>43</v>
      </c>
      <c r="J13" s="11" t="str">
        <f aca="false">IF(E13&lt;=2,"0-2 yrs",IF(E13&lt;=5,"3-5 yrs",IF(E13&lt;=10,"6-10 yrs","10+ yrs")))</f>
        <v>0-2 yrs</v>
      </c>
      <c r="K13" s="11" t="str">
        <f aca="false">IF(F13&lt;35000,"Low",IF(F13&lt;70000,"Medium","High"))</f>
        <v>High</v>
      </c>
    </row>
    <row r="14" customFormat="false" ht="15" hidden="false" customHeight="false" outlineLevel="0" collapsed="false">
      <c r="A14" s="11" t="s">
        <v>59</v>
      </c>
      <c r="B14" s="11" t="s">
        <v>36</v>
      </c>
      <c r="C14" s="11" t="s">
        <v>37</v>
      </c>
      <c r="D14" s="11" t="n">
        <v>25</v>
      </c>
      <c r="E14" s="11" t="n">
        <v>2</v>
      </c>
      <c r="F14" s="12" t="n">
        <v>33800</v>
      </c>
      <c r="G14" s="11" t="n">
        <v>4</v>
      </c>
      <c r="H14" s="11" t="s">
        <v>43</v>
      </c>
      <c r="I14" s="11" t="s">
        <v>43</v>
      </c>
      <c r="J14" s="11" t="str">
        <f aca="false">IF(E14&lt;=2,"0-2 yrs",IF(E14&lt;=5,"3-5 yrs",IF(E14&lt;=10,"6-10 yrs","10+ yrs")))</f>
        <v>0-2 yrs</v>
      </c>
      <c r="K14" s="11" t="str">
        <f aca="false">IF(F14&lt;35000,"Low",IF(F14&lt;70000,"Medium","High"))</f>
        <v>Low</v>
      </c>
    </row>
    <row r="15" customFormat="false" ht="15" hidden="false" customHeight="false" outlineLevel="0" collapsed="false">
      <c r="A15" s="11" t="s">
        <v>60</v>
      </c>
      <c r="B15" s="11" t="s">
        <v>46</v>
      </c>
      <c r="C15" s="11" t="s">
        <v>42</v>
      </c>
      <c r="D15" s="11" t="n">
        <v>38</v>
      </c>
      <c r="E15" s="11" t="n">
        <v>11</v>
      </c>
      <c r="F15" s="12" t="n">
        <v>67200</v>
      </c>
      <c r="G15" s="11" t="n">
        <v>1</v>
      </c>
      <c r="H15" s="11" t="s">
        <v>43</v>
      </c>
      <c r="I15" s="11" t="s">
        <v>43</v>
      </c>
      <c r="J15" s="11" t="str">
        <f aca="false">IF(E15&lt;=2,"0-2 yrs",IF(E15&lt;=5,"3-5 yrs",IF(E15&lt;=10,"6-10 yrs","10+ yrs")))</f>
        <v>10+ yrs</v>
      </c>
      <c r="K15" s="11" t="str">
        <f aca="false">IF(F15&lt;35000,"Low",IF(F15&lt;70000,"Medium","High"))</f>
        <v>Medium</v>
      </c>
    </row>
    <row r="16" customFormat="false" ht="15" hidden="false" customHeight="false" outlineLevel="0" collapsed="false">
      <c r="A16" s="11" t="s">
        <v>61</v>
      </c>
      <c r="B16" s="11" t="s">
        <v>46</v>
      </c>
      <c r="C16" s="11" t="s">
        <v>42</v>
      </c>
      <c r="D16" s="11" t="n">
        <v>43</v>
      </c>
      <c r="E16" s="11" t="n">
        <v>14</v>
      </c>
      <c r="F16" s="12" t="n">
        <v>65100</v>
      </c>
      <c r="G16" s="11" t="n">
        <v>4</v>
      </c>
      <c r="H16" s="11" t="s">
        <v>38</v>
      </c>
      <c r="I16" s="11" t="s">
        <v>43</v>
      </c>
      <c r="J16" s="11" t="str">
        <f aca="false">IF(E16&lt;=2,"0-2 yrs",IF(E16&lt;=5,"3-5 yrs",IF(E16&lt;=10,"6-10 yrs","10+ yrs")))</f>
        <v>10+ yrs</v>
      </c>
      <c r="K16" s="11" t="str">
        <f aca="false">IF(F16&lt;35000,"Low",IF(F16&lt;70000,"Medium","High"))</f>
        <v>Medium</v>
      </c>
    </row>
    <row r="17" customFormat="false" ht="15" hidden="false" customHeight="false" outlineLevel="0" collapsed="false">
      <c r="A17" s="11" t="s">
        <v>62</v>
      </c>
      <c r="B17" s="11" t="s">
        <v>51</v>
      </c>
      <c r="C17" s="11" t="s">
        <v>42</v>
      </c>
      <c r="D17" s="11" t="n">
        <v>26</v>
      </c>
      <c r="E17" s="11" t="n">
        <v>5</v>
      </c>
      <c r="F17" s="12" t="n">
        <v>73200</v>
      </c>
      <c r="G17" s="11" t="n">
        <v>4</v>
      </c>
      <c r="H17" s="11" t="s">
        <v>38</v>
      </c>
      <c r="I17" s="11" t="s">
        <v>43</v>
      </c>
      <c r="J17" s="11" t="str">
        <f aca="false">IF(E17&lt;=2,"0-2 yrs",IF(E17&lt;=5,"3-5 yrs",IF(E17&lt;=10,"6-10 yrs","10+ yrs")))</f>
        <v>3-5 yrs</v>
      </c>
      <c r="K17" s="11" t="str">
        <f aca="false">IF(F17&lt;35000,"Low",IF(F17&lt;70000,"Medium","High"))</f>
        <v>High</v>
      </c>
    </row>
    <row r="18" customFormat="false" ht="15" hidden="false" customHeight="false" outlineLevel="0" collapsed="false">
      <c r="A18" s="11" t="s">
        <v>63</v>
      </c>
      <c r="B18" s="11" t="s">
        <v>51</v>
      </c>
      <c r="C18" s="11" t="s">
        <v>42</v>
      </c>
      <c r="D18" s="11" t="n">
        <v>41</v>
      </c>
      <c r="E18" s="11" t="n">
        <v>7</v>
      </c>
      <c r="F18" s="12" t="n">
        <v>86400</v>
      </c>
      <c r="G18" s="11" t="n">
        <v>1</v>
      </c>
      <c r="H18" s="11" t="s">
        <v>43</v>
      </c>
      <c r="I18" s="11" t="s">
        <v>43</v>
      </c>
      <c r="J18" s="11" t="str">
        <f aca="false">IF(E18&lt;=2,"0-2 yrs",IF(E18&lt;=5,"3-5 yrs",IF(E18&lt;=10,"6-10 yrs","10+ yrs")))</f>
        <v>6-10 yrs</v>
      </c>
      <c r="K18" s="11" t="str">
        <f aca="false">IF(F18&lt;35000,"Low",IF(F18&lt;70000,"Medium","High"))</f>
        <v>High</v>
      </c>
    </row>
    <row r="19" customFormat="false" ht="15" hidden="false" customHeight="false" outlineLevel="0" collapsed="false">
      <c r="A19" s="11" t="s">
        <v>64</v>
      </c>
      <c r="B19" s="11" t="s">
        <v>41</v>
      </c>
      <c r="C19" s="11" t="s">
        <v>42</v>
      </c>
      <c r="D19" s="11" t="n">
        <v>37</v>
      </c>
      <c r="E19" s="11" t="n">
        <v>11</v>
      </c>
      <c r="F19" s="12" t="n">
        <v>56900</v>
      </c>
      <c r="G19" s="11" t="n">
        <v>3</v>
      </c>
      <c r="H19" s="11" t="s">
        <v>43</v>
      </c>
      <c r="I19" s="11" t="s">
        <v>43</v>
      </c>
      <c r="J19" s="11" t="str">
        <f aca="false">IF(E19&lt;=2,"0-2 yrs",IF(E19&lt;=5,"3-5 yrs",IF(E19&lt;=10,"6-10 yrs","10+ yrs")))</f>
        <v>10+ yrs</v>
      </c>
      <c r="K19" s="11" t="str">
        <f aca="false">IF(F19&lt;35000,"Low",IF(F19&lt;70000,"Medium","High"))</f>
        <v>Medium</v>
      </c>
    </row>
    <row r="20" customFormat="false" ht="15" hidden="false" customHeight="false" outlineLevel="0" collapsed="false">
      <c r="A20" s="11" t="s">
        <v>65</v>
      </c>
      <c r="B20" s="11" t="s">
        <v>54</v>
      </c>
      <c r="C20" s="11" t="s">
        <v>37</v>
      </c>
      <c r="D20" s="11" t="n">
        <v>33</v>
      </c>
      <c r="E20" s="11" t="n">
        <v>7</v>
      </c>
      <c r="F20" s="12" t="n">
        <v>61000</v>
      </c>
      <c r="G20" s="11" t="n">
        <v>4</v>
      </c>
      <c r="H20" s="11" t="s">
        <v>43</v>
      </c>
      <c r="I20" s="11" t="s">
        <v>43</v>
      </c>
      <c r="J20" s="11" t="str">
        <f aca="false">IF(E20&lt;=2,"0-2 yrs",IF(E20&lt;=5,"3-5 yrs",IF(E20&lt;=10,"6-10 yrs","10+ yrs")))</f>
        <v>6-10 yrs</v>
      </c>
      <c r="K20" s="11" t="str">
        <f aca="false">IF(F20&lt;35000,"Low",IF(F20&lt;70000,"Medium","High"))</f>
        <v>Medium</v>
      </c>
    </row>
    <row r="21" customFormat="false" ht="15" hidden="false" customHeight="false" outlineLevel="0" collapsed="false">
      <c r="A21" s="11" t="s">
        <v>66</v>
      </c>
      <c r="B21" s="11" t="s">
        <v>48</v>
      </c>
      <c r="C21" s="11" t="s">
        <v>37</v>
      </c>
      <c r="D21" s="11" t="n">
        <v>35</v>
      </c>
      <c r="E21" s="11" t="n">
        <v>15</v>
      </c>
      <c r="F21" s="12" t="n">
        <v>84900</v>
      </c>
      <c r="G21" s="11" t="n">
        <v>3</v>
      </c>
      <c r="H21" s="11" t="s">
        <v>43</v>
      </c>
      <c r="I21" s="11" t="s">
        <v>38</v>
      </c>
      <c r="J21" s="11" t="str">
        <f aca="false">IF(E21&lt;=2,"0-2 yrs",IF(E21&lt;=5,"3-5 yrs",IF(E21&lt;=10,"6-10 yrs","10+ yrs")))</f>
        <v>10+ yrs</v>
      </c>
      <c r="K21" s="11" t="str">
        <f aca="false">IF(F21&lt;35000,"Low",IF(F21&lt;70000,"Medium","High"))</f>
        <v>High</v>
      </c>
    </row>
    <row r="22" customFormat="false" ht="15" hidden="false" customHeight="false" outlineLevel="0" collapsed="false">
      <c r="A22" s="11" t="s">
        <v>67</v>
      </c>
      <c r="B22" s="11" t="s">
        <v>41</v>
      </c>
      <c r="C22" s="11" t="s">
        <v>42</v>
      </c>
      <c r="D22" s="11" t="n">
        <v>50</v>
      </c>
      <c r="E22" s="11" t="n">
        <v>2</v>
      </c>
      <c r="F22" s="12" t="n">
        <v>52500</v>
      </c>
      <c r="G22" s="11" t="n">
        <v>2</v>
      </c>
      <c r="H22" s="11" t="s">
        <v>38</v>
      </c>
      <c r="I22" s="11" t="s">
        <v>38</v>
      </c>
      <c r="J22" s="11" t="str">
        <f aca="false">IF(E22&lt;=2,"0-2 yrs",IF(E22&lt;=5,"3-5 yrs",IF(E22&lt;=10,"6-10 yrs","10+ yrs")))</f>
        <v>0-2 yrs</v>
      </c>
      <c r="K22" s="11" t="str">
        <f aca="false">IF(F22&lt;35000,"Low",IF(F22&lt;70000,"Medium","High"))</f>
        <v>Medium</v>
      </c>
    </row>
    <row r="23" customFormat="false" ht="15" hidden="false" customHeight="false" outlineLevel="0" collapsed="false">
      <c r="A23" s="11" t="s">
        <v>68</v>
      </c>
      <c r="B23" s="11" t="s">
        <v>46</v>
      </c>
      <c r="C23" s="11" t="s">
        <v>42</v>
      </c>
      <c r="D23" s="11" t="n">
        <v>43</v>
      </c>
      <c r="E23" s="11" t="n">
        <v>12</v>
      </c>
      <c r="F23" s="12" t="n">
        <v>64200</v>
      </c>
      <c r="G23" s="11" t="n">
        <v>3</v>
      </c>
      <c r="H23" s="11" t="s">
        <v>43</v>
      </c>
      <c r="I23" s="11" t="s">
        <v>43</v>
      </c>
      <c r="J23" s="11" t="str">
        <f aca="false">IF(E23&lt;=2,"0-2 yrs",IF(E23&lt;=5,"3-5 yrs",IF(E23&lt;=10,"6-10 yrs","10+ yrs")))</f>
        <v>10+ yrs</v>
      </c>
      <c r="K23" s="11" t="str">
        <f aca="false">IF(F23&lt;35000,"Low",IF(F23&lt;70000,"Medium","High"))</f>
        <v>Medium</v>
      </c>
    </row>
    <row r="24" customFormat="false" ht="15" hidden="false" customHeight="false" outlineLevel="0" collapsed="false">
      <c r="A24" s="11" t="s">
        <v>69</v>
      </c>
      <c r="B24" s="11" t="s">
        <v>46</v>
      </c>
      <c r="C24" s="11" t="s">
        <v>37</v>
      </c>
      <c r="D24" s="11" t="n">
        <v>30</v>
      </c>
      <c r="E24" s="11" t="n">
        <v>6</v>
      </c>
      <c r="F24" s="12" t="n">
        <v>49100</v>
      </c>
      <c r="G24" s="11" t="n">
        <v>3</v>
      </c>
      <c r="H24" s="11" t="s">
        <v>43</v>
      </c>
      <c r="I24" s="11" t="s">
        <v>43</v>
      </c>
      <c r="J24" s="11" t="str">
        <f aca="false">IF(E24&lt;=2,"0-2 yrs",IF(E24&lt;=5,"3-5 yrs",IF(E24&lt;=10,"6-10 yrs","10+ yrs")))</f>
        <v>6-10 yrs</v>
      </c>
      <c r="K24" s="11" t="str">
        <f aca="false">IF(F24&lt;35000,"Low",IF(F24&lt;70000,"Medium","High"))</f>
        <v>Medium</v>
      </c>
    </row>
    <row r="25" customFormat="false" ht="15" hidden="false" customHeight="false" outlineLevel="0" collapsed="false">
      <c r="A25" s="11" t="s">
        <v>70</v>
      </c>
      <c r="B25" s="11" t="s">
        <v>54</v>
      </c>
      <c r="C25" s="11" t="s">
        <v>37</v>
      </c>
      <c r="D25" s="11" t="n">
        <v>53</v>
      </c>
      <c r="E25" s="11" t="n">
        <v>5</v>
      </c>
      <c r="F25" s="12" t="n">
        <v>50600</v>
      </c>
      <c r="G25" s="11" t="n">
        <v>2</v>
      </c>
      <c r="H25" s="11" t="s">
        <v>43</v>
      </c>
      <c r="I25" s="11" t="s">
        <v>38</v>
      </c>
      <c r="J25" s="11" t="str">
        <f aca="false">IF(E25&lt;=2,"0-2 yrs",IF(E25&lt;=5,"3-5 yrs",IF(E25&lt;=10,"6-10 yrs","10+ yrs")))</f>
        <v>3-5 yrs</v>
      </c>
      <c r="K25" s="11" t="str">
        <f aca="false">IF(F25&lt;35000,"Low",IF(F25&lt;70000,"Medium","High"))</f>
        <v>Medium</v>
      </c>
    </row>
    <row r="26" customFormat="false" ht="15" hidden="false" customHeight="false" outlineLevel="0" collapsed="false">
      <c r="A26" s="11" t="s">
        <v>71</v>
      </c>
      <c r="B26" s="11" t="s">
        <v>41</v>
      </c>
      <c r="C26" s="11" t="s">
        <v>42</v>
      </c>
      <c r="D26" s="11" t="n">
        <v>57</v>
      </c>
      <c r="E26" s="11" t="n">
        <v>8</v>
      </c>
      <c r="F26" s="12" t="n">
        <v>53400</v>
      </c>
      <c r="G26" s="11" t="n">
        <v>4</v>
      </c>
      <c r="H26" s="11" t="s">
        <v>38</v>
      </c>
      <c r="I26" s="11" t="s">
        <v>43</v>
      </c>
      <c r="J26" s="11" t="str">
        <f aca="false">IF(E26&lt;=2,"0-2 yrs",IF(E26&lt;=5,"3-5 yrs",IF(E26&lt;=10,"6-10 yrs","10+ yrs")))</f>
        <v>6-10 yrs</v>
      </c>
      <c r="K26" s="11" t="str">
        <f aca="false">IF(F26&lt;35000,"Low",IF(F26&lt;70000,"Medium","High"))</f>
        <v>Medium</v>
      </c>
    </row>
    <row r="27" customFormat="false" ht="15" hidden="false" customHeight="false" outlineLevel="0" collapsed="false">
      <c r="A27" s="11" t="s">
        <v>72</v>
      </c>
      <c r="B27" s="11" t="s">
        <v>48</v>
      </c>
      <c r="C27" s="11" t="s">
        <v>37</v>
      </c>
      <c r="D27" s="11" t="n">
        <v>39</v>
      </c>
      <c r="E27" s="11" t="n">
        <v>7</v>
      </c>
      <c r="F27" s="12" t="n">
        <v>71600</v>
      </c>
      <c r="G27" s="11" t="n">
        <v>3</v>
      </c>
      <c r="H27" s="11" t="s">
        <v>43</v>
      </c>
      <c r="I27" s="11" t="s">
        <v>43</v>
      </c>
      <c r="J27" s="11" t="str">
        <f aca="false">IF(E27&lt;=2,"0-2 yrs",IF(E27&lt;=5,"3-5 yrs",IF(E27&lt;=10,"6-10 yrs","10+ yrs")))</f>
        <v>6-10 yrs</v>
      </c>
      <c r="K27" s="11" t="str">
        <f aca="false">IF(F27&lt;35000,"Low",IF(F27&lt;70000,"Medium","High"))</f>
        <v>High</v>
      </c>
    </row>
    <row r="28" customFormat="false" ht="15" hidden="false" customHeight="false" outlineLevel="0" collapsed="false">
      <c r="A28" s="11" t="s">
        <v>73</v>
      </c>
      <c r="B28" s="11" t="s">
        <v>51</v>
      </c>
      <c r="C28" s="11" t="s">
        <v>37</v>
      </c>
      <c r="D28" s="11" t="n">
        <v>34</v>
      </c>
      <c r="E28" s="11" t="n">
        <v>8</v>
      </c>
      <c r="F28" s="12" t="n">
        <v>76600</v>
      </c>
      <c r="G28" s="11" t="n">
        <v>2</v>
      </c>
      <c r="H28" s="11" t="s">
        <v>43</v>
      </c>
      <c r="I28" s="11" t="s">
        <v>43</v>
      </c>
      <c r="J28" s="11" t="str">
        <f aca="false">IF(E28&lt;=2,"0-2 yrs",IF(E28&lt;=5,"3-5 yrs",IF(E28&lt;=10,"6-10 yrs","10+ yrs")))</f>
        <v>6-10 yrs</v>
      </c>
      <c r="K28" s="11" t="str">
        <f aca="false">IF(F28&lt;35000,"Low",IF(F28&lt;70000,"Medium","High"))</f>
        <v>High</v>
      </c>
    </row>
    <row r="29" customFormat="false" ht="15" hidden="false" customHeight="false" outlineLevel="0" collapsed="false">
      <c r="A29" s="11" t="s">
        <v>74</v>
      </c>
      <c r="B29" s="11" t="s">
        <v>51</v>
      </c>
      <c r="C29" s="11" t="s">
        <v>42</v>
      </c>
      <c r="D29" s="11" t="n">
        <v>56</v>
      </c>
      <c r="E29" s="11" t="n">
        <v>15</v>
      </c>
      <c r="F29" s="12" t="n">
        <v>96000</v>
      </c>
      <c r="G29" s="11" t="n">
        <v>1</v>
      </c>
      <c r="H29" s="11" t="s">
        <v>38</v>
      </c>
      <c r="I29" s="11" t="s">
        <v>38</v>
      </c>
      <c r="J29" s="11" t="str">
        <f aca="false">IF(E29&lt;=2,"0-2 yrs",IF(E29&lt;=5,"3-5 yrs",IF(E29&lt;=10,"6-10 yrs","10+ yrs")))</f>
        <v>10+ yrs</v>
      </c>
      <c r="K29" s="11" t="str">
        <f aca="false">IF(F29&lt;35000,"Low",IF(F29&lt;70000,"Medium","High"))</f>
        <v>High</v>
      </c>
    </row>
    <row r="30" customFormat="false" ht="15" hidden="false" customHeight="false" outlineLevel="0" collapsed="false">
      <c r="A30" s="11" t="s">
        <v>75</v>
      </c>
      <c r="B30" s="11" t="s">
        <v>46</v>
      </c>
      <c r="C30" s="11" t="s">
        <v>37</v>
      </c>
      <c r="D30" s="11" t="n">
        <v>32</v>
      </c>
      <c r="E30" s="11" t="n">
        <v>2</v>
      </c>
      <c r="F30" s="12" t="n">
        <v>46200</v>
      </c>
      <c r="G30" s="11" t="n">
        <v>2</v>
      </c>
      <c r="H30" s="11" t="s">
        <v>38</v>
      </c>
      <c r="I30" s="11" t="s">
        <v>38</v>
      </c>
      <c r="J30" s="11" t="str">
        <f aca="false">IF(E30&lt;=2,"0-2 yrs",IF(E30&lt;=5,"3-5 yrs",IF(E30&lt;=10,"6-10 yrs","10+ yrs")))</f>
        <v>0-2 yrs</v>
      </c>
      <c r="K30" s="11" t="str">
        <f aca="false">IF(F30&lt;35000,"Low",IF(F30&lt;70000,"Medium","High"))</f>
        <v>Medium</v>
      </c>
    </row>
    <row r="31" customFormat="false" ht="15" hidden="false" customHeight="false" outlineLevel="0" collapsed="false">
      <c r="A31" s="11" t="s">
        <v>76</v>
      </c>
      <c r="B31" s="11" t="s">
        <v>54</v>
      </c>
      <c r="C31" s="11" t="s">
        <v>37</v>
      </c>
      <c r="D31" s="11" t="n">
        <v>46</v>
      </c>
      <c r="E31" s="11" t="n">
        <v>0</v>
      </c>
      <c r="F31" s="12" t="n">
        <v>53200</v>
      </c>
      <c r="G31" s="11" t="n">
        <v>2</v>
      </c>
      <c r="H31" s="11" t="s">
        <v>43</v>
      </c>
      <c r="I31" s="11" t="s">
        <v>43</v>
      </c>
      <c r="J31" s="11" t="str">
        <f aca="false">IF(E31&lt;=2,"0-2 yrs",IF(E31&lt;=5,"3-5 yrs",IF(E31&lt;=10,"6-10 yrs","10+ yrs")))</f>
        <v>0-2 yrs</v>
      </c>
      <c r="K31" s="11" t="str">
        <f aca="false">IF(F31&lt;35000,"Low",IF(F31&lt;70000,"Medium","High"))</f>
        <v>Medium</v>
      </c>
    </row>
    <row r="32" customFormat="false" ht="15" hidden="false" customHeight="false" outlineLevel="0" collapsed="false">
      <c r="A32" s="11" t="s">
        <v>77</v>
      </c>
      <c r="B32" s="11" t="s">
        <v>41</v>
      </c>
      <c r="C32" s="11" t="s">
        <v>37</v>
      </c>
      <c r="D32" s="11" t="n">
        <v>28</v>
      </c>
      <c r="E32" s="11" t="n">
        <v>8</v>
      </c>
      <c r="F32" s="12" t="n">
        <v>56300</v>
      </c>
      <c r="G32" s="11" t="n">
        <v>2</v>
      </c>
      <c r="H32" s="11" t="s">
        <v>43</v>
      </c>
      <c r="I32" s="11" t="s">
        <v>38</v>
      </c>
      <c r="J32" s="11" t="str">
        <f aca="false">IF(E32&lt;=2,"0-2 yrs",IF(E32&lt;=5,"3-5 yrs",IF(E32&lt;=10,"6-10 yrs","10+ yrs")))</f>
        <v>6-10 yrs</v>
      </c>
      <c r="K32" s="11" t="str">
        <f aca="false">IF(F32&lt;35000,"Low",IF(F32&lt;70000,"Medium","High"))</f>
        <v>Medium</v>
      </c>
    </row>
    <row r="33" customFormat="false" ht="15" hidden="false" customHeight="false" outlineLevel="0" collapsed="false">
      <c r="A33" s="11" t="s">
        <v>78</v>
      </c>
      <c r="B33" s="11" t="s">
        <v>51</v>
      </c>
      <c r="C33" s="11" t="s">
        <v>42</v>
      </c>
      <c r="D33" s="11" t="n">
        <v>55</v>
      </c>
      <c r="E33" s="11" t="n">
        <v>8</v>
      </c>
      <c r="F33" s="12" t="n">
        <v>84400</v>
      </c>
      <c r="G33" s="11" t="n">
        <v>1</v>
      </c>
      <c r="H33" s="11" t="s">
        <v>38</v>
      </c>
      <c r="I33" s="11" t="s">
        <v>43</v>
      </c>
      <c r="J33" s="11" t="str">
        <f aca="false">IF(E33&lt;=2,"0-2 yrs",IF(E33&lt;=5,"3-5 yrs",IF(E33&lt;=10,"6-10 yrs","10+ yrs")))</f>
        <v>6-10 yrs</v>
      </c>
      <c r="K33" s="11" t="str">
        <f aca="false">IF(F33&lt;35000,"Low",IF(F33&lt;70000,"Medium","High"))</f>
        <v>High</v>
      </c>
    </row>
    <row r="34" customFormat="false" ht="15" hidden="false" customHeight="false" outlineLevel="0" collapsed="false">
      <c r="A34" s="11" t="s">
        <v>79</v>
      </c>
      <c r="B34" s="11" t="s">
        <v>48</v>
      </c>
      <c r="C34" s="11" t="s">
        <v>42</v>
      </c>
      <c r="D34" s="11" t="n">
        <v>23</v>
      </c>
      <c r="E34" s="11" t="n">
        <v>3</v>
      </c>
      <c r="F34" s="12" t="n">
        <v>61900</v>
      </c>
      <c r="G34" s="11" t="n">
        <v>2</v>
      </c>
      <c r="H34" s="11" t="s">
        <v>43</v>
      </c>
      <c r="I34" s="11" t="s">
        <v>43</v>
      </c>
      <c r="J34" s="11" t="str">
        <f aca="false">IF(E34&lt;=2,"0-2 yrs",IF(E34&lt;=5,"3-5 yrs",IF(E34&lt;=10,"6-10 yrs","10+ yrs")))</f>
        <v>3-5 yrs</v>
      </c>
      <c r="K34" s="11" t="str">
        <f aca="false">IF(F34&lt;35000,"Low",IF(F34&lt;70000,"Medium","High"))</f>
        <v>Medium</v>
      </c>
    </row>
    <row r="35" customFormat="false" ht="15" hidden="false" customHeight="false" outlineLevel="0" collapsed="false">
      <c r="A35" s="11" t="s">
        <v>80</v>
      </c>
      <c r="B35" s="11" t="s">
        <v>36</v>
      </c>
      <c r="C35" s="11" t="s">
        <v>42</v>
      </c>
      <c r="D35" s="11" t="n">
        <v>24</v>
      </c>
      <c r="E35" s="11" t="n">
        <v>4</v>
      </c>
      <c r="F35" s="12" t="n">
        <v>44400</v>
      </c>
      <c r="G35" s="11" t="n">
        <v>2</v>
      </c>
      <c r="H35" s="11" t="s">
        <v>43</v>
      </c>
      <c r="I35" s="11" t="s">
        <v>43</v>
      </c>
      <c r="J35" s="11" t="str">
        <f aca="false">IF(E35&lt;=2,"0-2 yrs",IF(E35&lt;=5,"3-5 yrs",IF(E35&lt;=10,"6-10 yrs","10+ yrs")))</f>
        <v>3-5 yrs</v>
      </c>
      <c r="K35" s="11" t="str">
        <f aca="false">IF(F35&lt;35000,"Low",IF(F35&lt;70000,"Medium","High"))</f>
        <v>Medium</v>
      </c>
    </row>
    <row r="36" customFormat="false" ht="15" hidden="false" customHeight="false" outlineLevel="0" collapsed="false">
      <c r="A36" s="11" t="s">
        <v>81</v>
      </c>
      <c r="B36" s="11" t="s">
        <v>41</v>
      </c>
      <c r="C36" s="11" t="s">
        <v>42</v>
      </c>
      <c r="D36" s="11" t="n">
        <v>31</v>
      </c>
      <c r="E36" s="11" t="n">
        <v>11</v>
      </c>
      <c r="F36" s="12" t="n">
        <v>72000</v>
      </c>
      <c r="G36" s="11" t="n">
        <v>3</v>
      </c>
      <c r="H36" s="11" t="s">
        <v>43</v>
      </c>
      <c r="I36" s="11" t="s">
        <v>43</v>
      </c>
      <c r="J36" s="11" t="str">
        <f aca="false">IF(E36&lt;=2,"0-2 yrs",IF(E36&lt;=5,"3-5 yrs",IF(E36&lt;=10,"6-10 yrs","10+ yrs")))</f>
        <v>10+ yrs</v>
      </c>
      <c r="K36" s="11" t="str">
        <f aca="false">IF(F36&lt;35000,"Low",IF(F36&lt;70000,"Medium","High"))</f>
        <v>High</v>
      </c>
    </row>
    <row r="37" customFormat="false" ht="15" hidden="false" customHeight="false" outlineLevel="0" collapsed="false">
      <c r="A37" s="11" t="s">
        <v>82</v>
      </c>
      <c r="B37" s="11" t="s">
        <v>46</v>
      </c>
      <c r="C37" s="11" t="s">
        <v>42</v>
      </c>
      <c r="D37" s="11" t="n">
        <v>34</v>
      </c>
      <c r="E37" s="11" t="n">
        <v>10</v>
      </c>
      <c r="F37" s="12" t="n">
        <v>48800</v>
      </c>
      <c r="G37" s="11" t="n">
        <v>3</v>
      </c>
      <c r="H37" s="11" t="s">
        <v>38</v>
      </c>
      <c r="I37" s="11" t="s">
        <v>43</v>
      </c>
      <c r="J37" s="11" t="str">
        <f aca="false">IF(E37&lt;=2,"0-2 yrs",IF(E37&lt;=5,"3-5 yrs",IF(E37&lt;=10,"6-10 yrs","10+ yrs")))</f>
        <v>6-10 yrs</v>
      </c>
      <c r="K37" s="11" t="str">
        <f aca="false">IF(F37&lt;35000,"Low",IF(F37&lt;70000,"Medium","High"))</f>
        <v>Medium</v>
      </c>
    </row>
    <row r="38" customFormat="false" ht="15" hidden="false" customHeight="false" outlineLevel="0" collapsed="false">
      <c r="A38" s="11" t="s">
        <v>83</v>
      </c>
      <c r="B38" s="11" t="s">
        <v>41</v>
      </c>
      <c r="C38" s="11" t="s">
        <v>37</v>
      </c>
      <c r="D38" s="11" t="n">
        <v>35</v>
      </c>
      <c r="E38" s="11" t="n">
        <v>0</v>
      </c>
      <c r="F38" s="12" t="n">
        <v>37700</v>
      </c>
      <c r="G38" s="11" t="n">
        <v>3</v>
      </c>
      <c r="H38" s="11" t="s">
        <v>38</v>
      </c>
      <c r="I38" s="11" t="s">
        <v>38</v>
      </c>
      <c r="J38" s="11" t="str">
        <f aca="false">IF(E38&lt;=2,"0-2 yrs",IF(E38&lt;=5,"3-5 yrs",IF(E38&lt;=10,"6-10 yrs","10+ yrs")))</f>
        <v>0-2 yrs</v>
      </c>
      <c r="K38" s="11" t="str">
        <f aca="false">IF(F38&lt;35000,"Low",IF(F38&lt;70000,"Medium","High"))</f>
        <v>Medium</v>
      </c>
    </row>
    <row r="39" customFormat="false" ht="15" hidden="false" customHeight="false" outlineLevel="0" collapsed="false">
      <c r="A39" s="11" t="s">
        <v>84</v>
      </c>
      <c r="B39" s="11" t="s">
        <v>41</v>
      </c>
      <c r="C39" s="11" t="s">
        <v>42</v>
      </c>
      <c r="D39" s="11" t="n">
        <v>54</v>
      </c>
      <c r="E39" s="11" t="n">
        <v>11</v>
      </c>
      <c r="F39" s="12" t="n">
        <v>54200</v>
      </c>
      <c r="G39" s="11" t="n">
        <v>1</v>
      </c>
      <c r="H39" s="11" t="s">
        <v>43</v>
      </c>
      <c r="I39" s="11" t="s">
        <v>43</v>
      </c>
      <c r="J39" s="11" t="str">
        <f aca="false">IF(E39&lt;=2,"0-2 yrs",IF(E39&lt;=5,"3-5 yrs",IF(E39&lt;=10,"6-10 yrs","10+ yrs")))</f>
        <v>10+ yrs</v>
      </c>
      <c r="K39" s="11" t="str">
        <f aca="false">IF(F39&lt;35000,"Low",IF(F39&lt;70000,"Medium","High"))</f>
        <v>Medium</v>
      </c>
    </row>
    <row r="40" customFormat="false" ht="15" hidden="false" customHeight="false" outlineLevel="0" collapsed="false">
      <c r="A40" s="11" t="s">
        <v>85</v>
      </c>
      <c r="B40" s="11" t="s">
        <v>41</v>
      </c>
      <c r="C40" s="11" t="s">
        <v>42</v>
      </c>
      <c r="D40" s="11" t="n">
        <v>24</v>
      </c>
      <c r="E40" s="11" t="n">
        <v>1</v>
      </c>
      <c r="F40" s="12" t="n">
        <v>38100</v>
      </c>
      <c r="G40" s="11" t="n">
        <v>3</v>
      </c>
      <c r="H40" s="11" t="s">
        <v>38</v>
      </c>
      <c r="I40" s="11" t="s">
        <v>43</v>
      </c>
      <c r="J40" s="11" t="str">
        <f aca="false">IF(E40&lt;=2,"0-2 yrs",IF(E40&lt;=5,"3-5 yrs",IF(E40&lt;=10,"6-10 yrs","10+ yrs")))</f>
        <v>0-2 yrs</v>
      </c>
      <c r="K40" s="11" t="str">
        <f aca="false">IF(F40&lt;35000,"Low",IF(F40&lt;70000,"Medium","High"))</f>
        <v>Medium</v>
      </c>
    </row>
    <row r="41" customFormat="false" ht="15" hidden="false" customHeight="false" outlineLevel="0" collapsed="false">
      <c r="A41" s="11" t="s">
        <v>86</v>
      </c>
      <c r="B41" s="11" t="s">
        <v>46</v>
      </c>
      <c r="C41" s="11" t="s">
        <v>37</v>
      </c>
      <c r="D41" s="11" t="n">
        <v>30</v>
      </c>
      <c r="E41" s="11" t="n">
        <v>1</v>
      </c>
      <c r="F41" s="12" t="n">
        <v>49000</v>
      </c>
      <c r="G41" s="11" t="n">
        <v>3</v>
      </c>
      <c r="H41" s="11" t="s">
        <v>38</v>
      </c>
      <c r="I41" s="11" t="s">
        <v>43</v>
      </c>
      <c r="J41" s="11" t="str">
        <f aca="false">IF(E41&lt;=2,"0-2 yrs",IF(E41&lt;=5,"3-5 yrs",IF(E41&lt;=10,"6-10 yrs","10+ yrs")))</f>
        <v>0-2 yrs</v>
      </c>
      <c r="K41" s="11" t="str">
        <f aca="false">IF(F41&lt;35000,"Low",IF(F41&lt;70000,"Medium","High"))</f>
        <v>Medium</v>
      </c>
    </row>
    <row r="42" customFormat="false" ht="15" hidden="false" customHeight="false" outlineLevel="0" collapsed="false">
      <c r="A42" s="11" t="s">
        <v>87</v>
      </c>
      <c r="B42" s="11" t="s">
        <v>36</v>
      </c>
      <c r="C42" s="11" t="s">
        <v>42</v>
      </c>
      <c r="D42" s="11" t="n">
        <v>48</v>
      </c>
      <c r="E42" s="11" t="n">
        <v>11</v>
      </c>
      <c r="F42" s="12" t="n">
        <v>68500</v>
      </c>
      <c r="G42" s="11" t="n">
        <v>2</v>
      </c>
      <c r="H42" s="11" t="s">
        <v>43</v>
      </c>
      <c r="I42" s="11" t="s">
        <v>43</v>
      </c>
      <c r="J42" s="11" t="str">
        <f aca="false">IF(E42&lt;=2,"0-2 yrs",IF(E42&lt;=5,"3-5 yrs",IF(E42&lt;=10,"6-10 yrs","10+ yrs")))</f>
        <v>10+ yrs</v>
      </c>
      <c r="K42" s="11" t="str">
        <f aca="false">IF(F42&lt;35000,"Low",IF(F42&lt;70000,"Medium","High"))</f>
        <v>Medium</v>
      </c>
    </row>
    <row r="43" customFormat="false" ht="15" hidden="false" customHeight="false" outlineLevel="0" collapsed="false">
      <c r="A43" s="11" t="s">
        <v>88</v>
      </c>
      <c r="B43" s="11" t="s">
        <v>36</v>
      </c>
      <c r="C43" s="11" t="s">
        <v>42</v>
      </c>
      <c r="D43" s="11" t="n">
        <v>46</v>
      </c>
      <c r="E43" s="11" t="n">
        <v>2</v>
      </c>
      <c r="F43" s="12" t="n">
        <v>50800</v>
      </c>
      <c r="G43" s="11" t="n">
        <v>1</v>
      </c>
      <c r="H43" s="11" t="s">
        <v>43</v>
      </c>
      <c r="I43" s="11" t="s">
        <v>43</v>
      </c>
      <c r="J43" s="11" t="str">
        <f aca="false">IF(E43&lt;=2,"0-2 yrs",IF(E43&lt;=5,"3-5 yrs",IF(E43&lt;=10,"6-10 yrs","10+ yrs")))</f>
        <v>0-2 yrs</v>
      </c>
      <c r="K43" s="11" t="str">
        <f aca="false">IF(F43&lt;35000,"Low",IF(F43&lt;70000,"Medium","High"))</f>
        <v>Medium</v>
      </c>
    </row>
    <row r="44" customFormat="false" ht="15" hidden="false" customHeight="false" outlineLevel="0" collapsed="false">
      <c r="A44" s="11" t="s">
        <v>89</v>
      </c>
      <c r="B44" s="11" t="s">
        <v>54</v>
      </c>
      <c r="C44" s="11" t="s">
        <v>42</v>
      </c>
      <c r="D44" s="11" t="n">
        <v>54</v>
      </c>
      <c r="E44" s="11" t="n">
        <v>8</v>
      </c>
      <c r="F44" s="12" t="n">
        <v>48700</v>
      </c>
      <c r="G44" s="11" t="n">
        <v>3</v>
      </c>
      <c r="H44" s="11" t="s">
        <v>43</v>
      </c>
      <c r="I44" s="11" t="s">
        <v>43</v>
      </c>
      <c r="J44" s="11" t="str">
        <f aca="false">IF(E44&lt;=2,"0-2 yrs",IF(E44&lt;=5,"3-5 yrs",IF(E44&lt;=10,"6-10 yrs","10+ yrs")))</f>
        <v>6-10 yrs</v>
      </c>
      <c r="K44" s="11" t="str">
        <f aca="false">IF(F44&lt;35000,"Low",IF(F44&lt;70000,"Medium","High"))</f>
        <v>Medium</v>
      </c>
    </row>
    <row r="45" customFormat="false" ht="15" hidden="false" customHeight="false" outlineLevel="0" collapsed="false">
      <c r="A45" s="11" t="s">
        <v>90</v>
      </c>
      <c r="B45" s="11" t="s">
        <v>46</v>
      </c>
      <c r="C45" s="11" t="s">
        <v>42</v>
      </c>
      <c r="D45" s="11" t="n">
        <v>32</v>
      </c>
      <c r="E45" s="11" t="n">
        <v>12</v>
      </c>
      <c r="F45" s="12" t="n">
        <v>78500</v>
      </c>
      <c r="G45" s="11" t="n">
        <v>2</v>
      </c>
      <c r="H45" s="11" t="s">
        <v>43</v>
      </c>
      <c r="I45" s="11" t="s">
        <v>43</v>
      </c>
      <c r="J45" s="11" t="str">
        <f aca="false">IF(E45&lt;=2,"0-2 yrs",IF(E45&lt;=5,"3-5 yrs",IF(E45&lt;=10,"6-10 yrs","10+ yrs")))</f>
        <v>10+ yrs</v>
      </c>
      <c r="K45" s="11" t="str">
        <f aca="false">IF(F45&lt;35000,"Low",IF(F45&lt;70000,"Medium","High"))</f>
        <v>High</v>
      </c>
    </row>
    <row r="46" customFormat="false" ht="15" hidden="false" customHeight="false" outlineLevel="0" collapsed="false">
      <c r="A46" s="11" t="s">
        <v>91</v>
      </c>
      <c r="B46" s="11" t="s">
        <v>54</v>
      </c>
      <c r="C46" s="11" t="s">
        <v>42</v>
      </c>
      <c r="D46" s="11" t="n">
        <v>47</v>
      </c>
      <c r="E46" s="11" t="n">
        <v>14</v>
      </c>
      <c r="F46" s="12" t="n">
        <v>70800</v>
      </c>
      <c r="G46" s="11" t="n">
        <v>3</v>
      </c>
      <c r="H46" s="11" t="s">
        <v>38</v>
      </c>
      <c r="I46" s="11" t="s">
        <v>43</v>
      </c>
      <c r="J46" s="11" t="str">
        <f aca="false">IF(E46&lt;=2,"0-2 yrs",IF(E46&lt;=5,"3-5 yrs",IF(E46&lt;=10,"6-10 yrs","10+ yrs")))</f>
        <v>10+ yrs</v>
      </c>
      <c r="K46" s="11" t="str">
        <f aca="false">IF(F46&lt;35000,"Low",IF(F46&lt;70000,"Medium","High"))</f>
        <v>High</v>
      </c>
    </row>
    <row r="47" customFormat="false" ht="15" hidden="false" customHeight="false" outlineLevel="0" collapsed="false">
      <c r="A47" s="11" t="s">
        <v>92</v>
      </c>
      <c r="B47" s="11" t="s">
        <v>51</v>
      </c>
      <c r="C47" s="11" t="s">
        <v>37</v>
      </c>
      <c r="D47" s="11" t="n">
        <v>51</v>
      </c>
      <c r="E47" s="11" t="n">
        <v>6</v>
      </c>
      <c r="F47" s="12" t="n">
        <v>81400</v>
      </c>
      <c r="G47" s="11" t="n">
        <v>4</v>
      </c>
      <c r="H47" s="11" t="s">
        <v>43</v>
      </c>
      <c r="I47" s="11" t="s">
        <v>43</v>
      </c>
      <c r="J47" s="11" t="str">
        <f aca="false">IF(E47&lt;=2,"0-2 yrs",IF(E47&lt;=5,"3-5 yrs",IF(E47&lt;=10,"6-10 yrs","10+ yrs")))</f>
        <v>6-10 yrs</v>
      </c>
      <c r="K47" s="11" t="str">
        <f aca="false">IF(F47&lt;35000,"Low",IF(F47&lt;70000,"Medium","High"))</f>
        <v>High</v>
      </c>
    </row>
    <row r="48" customFormat="false" ht="15" hidden="false" customHeight="false" outlineLevel="0" collapsed="false">
      <c r="A48" s="11" t="s">
        <v>93</v>
      </c>
      <c r="B48" s="11" t="s">
        <v>41</v>
      </c>
      <c r="C48" s="11" t="s">
        <v>37</v>
      </c>
      <c r="D48" s="11" t="n">
        <v>44</v>
      </c>
      <c r="E48" s="11" t="n">
        <v>10</v>
      </c>
      <c r="F48" s="12" t="n">
        <v>52800</v>
      </c>
      <c r="G48" s="11" t="n">
        <v>3</v>
      </c>
      <c r="H48" s="11" t="s">
        <v>38</v>
      </c>
      <c r="I48" s="11" t="s">
        <v>38</v>
      </c>
      <c r="J48" s="11" t="str">
        <f aca="false">IF(E48&lt;=2,"0-2 yrs",IF(E48&lt;=5,"3-5 yrs",IF(E48&lt;=10,"6-10 yrs","10+ yrs")))</f>
        <v>6-10 yrs</v>
      </c>
      <c r="K48" s="11" t="str">
        <f aca="false">IF(F48&lt;35000,"Low",IF(F48&lt;70000,"Medium","High"))</f>
        <v>Medium</v>
      </c>
    </row>
    <row r="49" customFormat="false" ht="15" hidden="false" customHeight="false" outlineLevel="0" collapsed="false">
      <c r="A49" s="11" t="s">
        <v>94</v>
      </c>
      <c r="B49" s="11" t="s">
        <v>41</v>
      </c>
      <c r="C49" s="11" t="s">
        <v>37</v>
      </c>
      <c r="D49" s="11" t="n">
        <v>26</v>
      </c>
      <c r="E49" s="11" t="n">
        <v>6</v>
      </c>
      <c r="F49" s="12" t="n">
        <v>44300</v>
      </c>
      <c r="G49" s="11" t="n">
        <v>4</v>
      </c>
      <c r="H49" s="11" t="s">
        <v>38</v>
      </c>
      <c r="I49" s="11" t="s">
        <v>38</v>
      </c>
      <c r="J49" s="11" t="str">
        <f aca="false">IF(E49&lt;=2,"0-2 yrs",IF(E49&lt;=5,"3-5 yrs",IF(E49&lt;=10,"6-10 yrs","10+ yrs")))</f>
        <v>6-10 yrs</v>
      </c>
      <c r="K49" s="11" t="str">
        <f aca="false">IF(F49&lt;35000,"Low",IF(F49&lt;70000,"Medium","High"))</f>
        <v>Medium</v>
      </c>
    </row>
    <row r="50" customFormat="false" ht="15" hidden="false" customHeight="false" outlineLevel="0" collapsed="false">
      <c r="A50" s="11" t="s">
        <v>95</v>
      </c>
      <c r="B50" s="11" t="s">
        <v>41</v>
      </c>
      <c r="C50" s="11" t="s">
        <v>42</v>
      </c>
      <c r="D50" s="11" t="n">
        <v>42</v>
      </c>
      <c r="E50" s="11" t="n">
        <v>14</v>
      </c>
      <c r="F50" s="12" t="n">
        <v>74300</v>
      </c>
      <c r="G50" s="11" t="n">
        <v>1</v>
      </c>
      <c r="H50" s="11" t="s">
        <v>43</v>
      </c>
      <c r="I50" s="11" t="s">
        <v>38</v>
      </c>
      <c r="J50" s="11" t="str">
        <f aca="false">IF(E50&lt;=2,"0-2 yrs",IF(E50&lt;=5,"3-5 yrs",IF(E50&lt;=10,"6-10 yrs","10+ yrs")))</f>
        <v>10+ yrs</v>
      </c>
      <c r="K50" s="11" t="str">
        <f aca="false">IF(F50&lt;35000,"Low",IF(F50&lt;70000,"Medium","High"))</f>
        <v>High</v>
      </c>
    </row>
    <row r="51" customFormat="false" ht="15" hidden="false" customHeight="false" outlineLevel="0" collapsed="false">
      <c r="A51" s="11" t="s">
        <v>96</v>
      </c>
      <c r="B51" s="11" t="s">
        <v>48</v>
      </c>
      <c r="C51" s="11" t="s">
        <v>42</v>
      </c>
      <c r="D51" s="11" t="n">
        <v>30</v>
      </c>
      <c r="E51" s="11" t="n">
        <v>9</v>
      </c>
      <c r="F51" s="12" t="n">
        <v>63100</v>
      </c>
      <c r="G51" s="11" t="n">
        <v>3</v>
      </c>
      <c r="H51" s="11" t="s">
        <v>43</v>
      </c>
      <c r="I51" s="11" t="s">
        <v>43</v>
      </c>
      <c r="J51" s="11" t="str">
        <f aca="false">IF(E51&lt;=2,"0-2 yrs",IF(E51&lt;=5,"3-5 yrs",IF(E51&lt;=10,"6-10 yrs","10+ yrs")))</f>
        <v>6-10 yrs</v>
      </c>
      <c r="K51" s="11" t="str">
        <f aca="false">IF(F51&lt;35000,"Low",IF(F51&lt;70000,"Medium","High"))</f>
        <v>Medium</v>
      </c>
    </row>
    <row r="52" customFormat="false" ht="15" hidden="false" customHeight="false" outlineLevel="0" collapsed="false">
      <c r="A52" s="11" t="s">
        <v>97</v>
      </c>
      <c r="B52" s="11" t="s">
        <v>51</v>
      </c>
      <c r="C52" s="11" t="s">
        <v>37</v>
      </c>
      <c r="D52" s="11" t="n">
        <v>45</v>
      </c>
      <c r="E52" s="11" t="n">
        <v>11</v>
      </c>
      <c r="F52" s="12" t="n">
        <v>79200</v>
      </c>
      <c r="G52" s="11" t="n">
        <v>3</v>
      </c>
      <c r="H52" s="11" t="s">
        <v>38</v>
      </c>
      <c r="I52" s="11" t="s">
        <v>43</v>
      </c>
      <c r="J52" s="11" t="str">
        <f aca="false">IF(E52&lt;=2,"0-2 yrs",IF(E52&lt;=5,"3-5 yrs",IF(E52&lt;=10,"6-10 yrs","10+ yrs")))</f>
        <v>10+ yrs</v>
      </c>
      <c r="K52" s="11" t="str">
        <f aca="false">IF(F52&lt;35000,"Low",IF(F52&lt;70000,"Medium","High"))</f>
        <v>High</v>
      </c>
    </row>
    <row r="53" customFormat="false" ht="15" hidden="false" customHeight="false" outlineLevel="0" collapsed="false">
      <c r="A53" s="11" t="s">
        <v>98</v>
      </c>
      <c r="B53" s="11" t="s">
        <v>54</v>
      </c>
      <c r="C53" s="11" t="s">
        <v>37</v>
      </c>
      <c r="D53" s="11" t="n">
        <v>45</v>
      </c>
      <c r="E53" s="11" t="n">
        <v>1</v>
      </c>
      <c r="F53" s="12" t="n">
        <v>47400</v>
      </c>
      <c r="G53" s="11" t="n">
        <v>2</v>
      </c>
      <c r="H53" s="11" t="s">
        <v>43</v>
      </c>
      <c r="I53" s="11" t="s">
        <v>38</v>
      </c>
      <c r="J53" s="11" t="str">
        <f aca="false">IF(E53&lt;=2,"0-2 yrs",IF(E53&lt;=5,"3-5 yrs",IF(E53&lt;=10,"6-10 yrs","10+ yrs")))</f>
        <v>0-2 yrs</v>
      </c>
      <c r="K53" s="11" t="str">
        <f aca="false">IF(F53&lt;35000,"Low",IF(F53&lt;70000,"Medium","High"))</f>
        <v>Medium</v>
      </c>
    </row>
    <row r="54" customFormat="false" ht="15" hidden="false" customHeight="false" outlineLevel="0" collapsed="false">
      <c r="A54" s="11" t="s">
        <v>99</v>
      </c>
      <c r="B54" s="11" t="s">
        <v>48</v>
      </c>
      <c r="C54" s="11" t="s">
        <v>42</v>
      </c>
      <c r="D54" s="11" t="n">
        <v>23</v>
      </c>
      <c r="E54" s="11" t="n">
        <v>2</v>
      </c>
      <c r="F54" s="12" t="n">
        <v>61200</v>
      </c>
      <c r="G54" s="11" t="n">
        <v>4</v>
      </c>
      <c r="H54" s="11" t="s">
        <v>43</v>
      </c>
      <c r="I54" s="11" t="s">
        <v>43</v>
      </c>
      <c r="J54" s="11" t="str">
        <f aca="false">IF(E54&lt;=2,"0-2 yrs",IF(E54&lt;=5,"3-5 yrs",IF(E54&lt;=10,"6-10 yrs","10+ yrs")))</f>
        <v>0-2 yrs</v>
      </c>
      <c r="K54" s="11" t="str">
        <f aca="false">IF(F54&lt;35000,"Low",IF(F54&lt;70000,"Medium","High"))</f>
        <v>Medium</v>
      </c>
    </row>
    <row r="55" customFormat="false" ht="15" hidden="false" customHeight="false" outlineLevel="0" collapsed="false">
      <c r="A55" s="11" t="s">
        <v>100</v>
      </c>
      <c r="B55" s="11" t="s">
        <v>46</v>
      </c>
      <c r="C55" s="11" t="s">
        <v>37</v>
      </c>
      <c r="D55" s="11" t="n">
        <v>46</v>
      </c>
      <c r="E55" s="11" t="n">
        <v>5</v>
      </c>
      <c r="F55" s="12" t="n">
        <v>64300</v>
      </c>
      <c r="G55" s="11" t="n">
        <v>2</v>
      </c>
      <c r="H55" s="11" t="s">
        <v>43</v>
      </c>
      <c r="I55" s="11" t="s">
        <v>43</v>
      </c>
      <c r="J55" s="11" t="str">
        <f aca="false">IF(E55&lt;=2,"0-2 yrs",IF(E55&lt;=5,"3-5 yrs",IF(E55&lt;=10,"6-10 yrs","10+ yrs")))</f>
        <v>3-5 yrs</v>
      </c>
      <c r="K55" s="11" t="str">
        <f aca="false">IF(F55&lt;35000,"Low",IF(F55&lt;70000,"Medium","High"))</f>
        <v>Medium</v>
      </c>
    </row>
    <row r="56" customFormat="false" ht="15" hidden="false" customHeight="false" outlineLevel="0" collapsed="false">
      <c r="A56" s="11" t="s">
        <v>101</v>
      </c>
      <c r="B56" s="11" t="s">
        <v>41</v>
      </c>
      <c r="C56" s="11" t="s">
        <v>37</v>
      </c>
      <c r="D56" s="11" t="n">
        <v>37</v>
      </c>
      <c r="E56" s="11" t="n">
        <v>11</v>
      </c>
      <c r="F56" s="12" t="n">
        <v>59700</v>
      </c>
      <c r="G56" s="11" t="n">
        <v>3</v>
      </c>
      <c r="H56" s="11" t="s">
        <v>43</v>
      </c>
      <c r="I56" s="11" t="s">
        <v>38</v>
      </c>
      <c r="J56" s="11" t="str">
        <f aca="false">IF(E56&lt;=2,"0-2 yrs",IF(E56&lt;=5,"3-5 yrs",IF(E56&lt;=10,"6-10 yrs","10+ yrs")))</f>
        <v>10+ yrs</v>
      </c>
      <c r="K56" s="11" t="str">
        <f aca="false">IF(F56&lt;35000,"Low",IF(F56&lt;70000,"Medium","High"))</f>
        <v>Medium</v>
      </c>
    </row>
    <row r="57" customFormat="false" ht="15" hidden="false" customHeight="false" outlineLevel="0" collapsed="false">
      <c r="A57" s="11" t="s">
        <v>102</v>
      </c>
      <c r="B57" s="11" t="s">
        <v>46</v>
      </c>
      <c r="C57" s="11" t="s">
        <v>42</v>
      </c>
      <c r="D57" s="11" t="n">
        <v>28</v>
      </c>
      <c r="E57" s="11" t="n">
        <v>1</v>
      </c>
      <c r="F57" s="12" t="n">
        <v>51500</v>
      </c>
      <c r="G57" s="11" t="n">
        <v>1</v>
      </c>
      <c r="H57" s="11" t="s">
        <v>43</v>
      </c>
      <c r="I57" s="11" t="s">
        <v>43</v>
      </c>
      <c r="J57" s="11" t="str">
        <f aca="false">IF(E57&lt;=2,"0-2 yrs",IF(E57&lt;=5,"3-5 yrs",IF(E57&lt;=10,"6-10 yrs","10+ yrs")))</f>
        <v>0-2 yrs</v>
      </c>
      <c r="K57" s="11" t="str">
        <f aca="false">IF(F57&lt;35000,"Low",IF(F57&lt;70000,"Medium","High"))</f>
        <v>Medium</v>
      </c>
    </row>
    <row r="58" customFormat="false" ht="15" hidden="false" customHeight="false" outlineLevel="0" collapsed="false">
      <c r="A58" s="11" t="s">
        <v>103</v>
      </c>
      <c r="B58" s="11" t="s">
        <v>41</v>
      </c>
      <c r="C58" s="11" t="s">
        <v>42</v>
      </c>
      <c r="D58" s="11" t="n">
        <v>42</v>
      </c>
      <c r="E58" s="11" t="n">
        <v>4</v>
      </c>
      <c r="F58" s="12" t="n">
        <v>48800</v>
      </c>
      <c r="G58" s="11" t="n">
        <v>2</v>
      </c>
      <c r="H58" s="11" t="s">
        <v>43</v>
      </c>
      <c r="I58" s="11" t="s">
        <v>43</v>
      </c>
      <c r="J58" s="11" t="str">
        <f aca="false">IF(E58&lt;=2,"0-2 yrs",IF(E58&lt;=5,"3-5 yrs",IF(E58&lt;=10,"6-10 yrs","10+ yrs")))</f>
        <v>3-5 yrs</v>
      </c>
      <c r="K58" s="11" t="str">
        <f aca="false">IF(F58&lt;35000,"Low",IF(F58&lt;70000,"Medium","High"))</f>
        <v>Medium</v>
      </c>
    </row>
    <row r="59" customFormat="false" ht="15" hidden="false" customHeight="false" outlineLevel="0" collapsed="false">
      <c r="A59" s="11" t="s">
        <v>104</v>
      </c>
      <c r="B59" s="11" t="s">
        <v>54</v>
      </c>
      <c r="C59" s="11" t="s">
        <v>42</v>
      </c>
      <c r="D59" s="11" t="n">
        <v>54</v>
      </c>
      <c r="E59" s="11" t="n">
        <v>3</v>
      </c>
      <c r="F59" s="12" t="n">
        <v>53900</v>
      </c>
      <c r="G59" s="11" t="n">
        <v>3</v>
      </c>
      <c r="H59" s="11" t="s">
        <v>43</v>
      </c>
      <c r="I59" s="11" t="s">
        <v>43</v>
      </c>
      <c r="J59" s="11" t="str">
        <f aca="false">IF(E59&lt;=2,"0-2 yrs",IF(E59&lt;=5,"3-5 yrs",IF(E59&lt;=10,"6-10 yrs","10+ yrs")))</f>
        <v>3-5 yrs</v>
      </c>
      <c r="K59" s="11" t="str">
        <f aca="false">IF(F59&lt;35000,"Low",IF(F59&lt;70000,"Medium","High"))</f>
        <v>Medium</v>
      </c>
    </row>
    <row r="60" customFormat="false" ht="15" hidden="false" customHeight="false" outlineLevel="0" collapsed="false">
      <c r="A60" s="11" t="s">
        <v>105</v>
      </c>
      <c r="B60" s="11" t="s">
        <v>36</v>
      </c>
      <c r="C60" s="11" t="s">
        <v>42</v>
      </c>
      <c r="D60" s="11" t="n">
        <v>38</v>
      </c>
      <c r="E60" s="11" t="n">
        <v>14</v>
      </c>
      <c r="F60" s="12" t="n">
        <v>65800</v>
      </c>
      <c r="G60" s="11" t="n">
        <v>2</v>
      </c>
      <c r="H60" s="11" t="s">
        <v>43</v>
      </c>
      <c r="I60" s="11" t="s">
        <v>43</v>
      </c>
      <c r="J60" s="11" t="str">
        <f aca="false">IF(E60&lt;=2,"0-2 yrs",IF(E60&lt;=5,"3-5 yrs",IF(E60&lt;=10,"6-10 yrs","10+ yrs")))</f>
        <v>10+ yrs</v>
      </c>
      <c r="K60" s="11" t="str">
        <f aca="false">IF(F60&lt;35000,"Low",IF(F60&lt;70000,"Medium","High"))</f>
        <v>Medium</v>
      </c>
    </row>
    <row r="61" customFormat="false" ht="15" hidden="false" customHeight="false" outlineLevel="0" collapsed="false">
      <c r="A61" s="11" t="s">
        <v>106</v>
      </c>
      <c r="B61" s="11" t="s">
        <v>41</v>
      </c>
      <c r="C61" s="11" t="s">
        <v>37</v>
      </c>
      <c r="D61" s="11" t="n">
        <v>25</v>
      </c>
      <c r="E61" s="11" t="n">
        <v>4</v>
      </c>
      <c r="F61" s="12" t="n">
        <v>44400</v>
      </c>
      <c r="G61" s="11" t="n">
        <v>4</v>
      </c>
      <c r="H61" s="11" t="s">
        <v>38</v>
      </c>
      <c r="I61" s="11" t="s">
        <v>38</v>
      </c>
      <c r="J61" s="11" t="str">
        <f aca="false">IF(E61&lt;=2,"0-2 yrs",IF(E61&lt;=5,"3-5 yrs",IF(E61&lt;=10,"6-10 yrs","10+ yrs")))</f>
        <v>3-5 yrs</v>
      </c>
      <c r="K61" s="11" t="str">
        <f aca="false">IF(F61&lt;35000,"Low",IF(F61&lt;70000,"Medium","High"))</f>
        <v>Medium</v>
      </c>
    </row>
    <row r="62" customFormat="false" ht="15" hidden="false" customHeight="false" outlineLevel="0" collapsed="false">
      <c r="A62" s="11" t="s">
        <v>107</v>
      </c>
      <c r="B62" s="11" t="s">
        <v>51</v>
      </c>
      <c r="C62" s="11" t="s">
        <v>42</v>
      </c>
      <c r="D62" s="11" t="n">
        <v>41</v>
      </c>
      <c r="E62" s="11" t="n">
        <v>8</v>
      </c>
      <c r="F62" s="12" t="n">
        <v>81300</v>
      </c>
      <c r="G62" s="11" t="n">
        <v>3</v>
      </c>
      <c r="H62" s="11" t="s">
        <v>43</v>
      </c>
      <c r="I62" s="11" t="s">
        <v>43</v>
      </c>
      <c r="J62" s="11" t="str">
        <f aca="false">IF(E62&lt;=2,"0-2 yrs",IF(E62&lt;=5,"3-5 yrs",IF(E62&lt;=10,"6-10 yrs","10+ yrs")))</f>
        <v>6-10 yrs</v>
      </c>
      <c r="K62" s="11" t="str">
        <f aca="false">IF(F62&lt;35000,"Low",IF(F62&lt;70000,"Medium","High"))</f>
        <v>High</v>
      </c>
    </row>
    <row r="63" customFormat="false" ht="15" hidden="false" customHeight="false" outlineLevel="0" collapsed="false">
      <c r="A63" s="11" t="s">
        <v>108</v>
      </c>
      <c r="B63" s="11" t="s">
        <v>48</v>
      </c>
      <c r="C63" s="11" t="s">
        <v>37</v>
      </c>
      <c r="D63" s="11" t="n">
        <v>45</v>
      </c>
      <c r="E63" s="11" t="n">
        <v>1</v>
      </c>
      <c r="F63" s="12" t="n">
        <v>65600</v>
      </c>
      <c r="G63" s="11" t="n">
        <v>2</v>
      </c>
      <c r="H63" s="11" t="s">
        <v>43</v>
      </c>
      <c r="I63" s="11" t="s">
        <v>43</v>
      </c>
      <c r="J63" s="11" t="str">
        <f aca="false">IF(E63&lt;=2,"0-2 yrs",IF(E63&lt;=5,"3-5 yrs",IF(E63&lt;=10,"6-10 yrs","10+ yrs")))</f>
        <v>0-2 yrs</v>
      </c>
      <c r="K63" s="11" t="str">
        <f aca="false">IF(F63&lt;35000,"Low",IF(F63&lt;70000,"Medium","High"))</f>
        <v>Medium</v>
      </c>
    </row>
    <row r="64" customFormat="false" ht="15" hidden="false" customHeight="false" outlineLevel="0" collapsed="false">
      <c r="A64" s="11" t="s">
        <v>109</v>
      </c>
      <c r="B64" s="11" t="s">
        <v>54</v>
      </c>
      <c r="C64" s="11" t="s">
        <v>42</v>
      </c>
      <c r="D64" s="11" t="n">
        <v>34</v>
      </c>
      <c r="E64" s="11" t="n">
        <v>2</v>
      </c>
      <c r="F64" s="12" t="n">
        <v>61300</v>
      </c>
      <c r="G64" s="11" t="n">
        <v>4</v>
      </c>
      <c r="H64" s="11" t="s">
        <v>38</v>
      </c>
      <c r="I64" s="11" t="s">
        <v>43</v>
      </c>
      <c r="J64" s="11" t="str">
        <f aca="false">IF(E64&lt;=2,"0-2 yrs",IF(E64&lt;=5,"3-5 yrs",IF(E64&lt;=10,"6-10 yrs","10+ yrs")))</f>
        <v>0-2 yrs</v>
      </c>
      <c r="K64" s="11" t="str">
        <f aca="false">IF(F64&lt;35000,"Low",IF(F64&lt;70000,"Medium","High"))</f>
        <v>Medium</v>
      </c>
    </row>
    <row r="65" customFormat="false" ht="15" hidden="false" customHeight="false" outlineLevel="0" collapsed="false">
      <c r="A65" s="11" t="s">
        <v>110</v>
      </c>
      <c r="B65" s="11" t="s">
        <v>51</v>
      </c>
      <c r="C65" s="11" t="s">
        <v>42</v>
      </c>
      <c r="D65" s="11" t="n">
        <v>24</v>
      </c>
      <c r="E65" s="11" t="n">
        <v>4</v>
      </c>
      <c r="F65" s="12" t="n">
        <v>74200</v>
      </c>
      <c r="G65" s="11" t="n">
        <v>2</v>
      </c>
      <c r="H65" s="11" t="s">
        <v>43</v>
      </c>
      <c r="I65" s="11" t="s">
        <v>43</v>
      </c>
      <c r="J65" s="11" t="str">
        <f aca="false">IF(E65&lt;=2,"0-2 yrs",IF(E65&lt;=5,"3-5 yrs",IF(E65&lt;=10,"6-10 yrs","10+ yrs")))</f>
        <v>3-5 yrs</v>
      </c>
      <c r="K65" s="11" t="str">
        <f aca="false">IF(F65&lt;35000,"Low",IF(F65&lt;70000,"Medium","High"))</f>
        <v>High</v>
      </c>
    </row>
    <row r="66" customFormat="false" ht="15" hidden="false" customHeight="false" outlineLevel="0" collapsed="false">
      <c r="A66" s="11" t="s">
        <v>111</v>
      </c>
      <c r="B66" s="11" t="s">
        <v>41</v>
      </c>
      <c r="C66" s="11" t="s">
        <v>37</v>
      </c>
      <c r="D66" s="11" t="n">
        <v>26</v>
      </c>
      <c r="E66" s="11" t="n">
        <v>2</v>
      </c>
      <c r="F66" s="12" t="n">
        <v>42700</v>
      </c>
      <c r="G66" s="11" t="n">
        <v>2</v>
      </c>
      <c r="H66" s="11" t="s">
        <v>43</v>
      </c>
      <c r="I66" s="11" t="s">
        <v>43</v>
      </c>
      <c r="J66" s="11" t="str">
        <f aca="false">IF(E66&lt;=2,"0-2 yrs",IF(E66&lt;=5,"3-5 yrs",IF(E66&lt;=10,"6-10 yrs","10+ yrs")))</f>
        <v>0-2 yrs</v>
      </c>
      <c r="K66" s="11" t="str">
        <f aca="false">IF(F66&lt;35000,"Low",IF(F66&lt;70000,"Medium","High"))</f>
        <v>Medium</v>
      </c>
    </row>
    <row r="67" customFormat="false" ht="15" hidden="false" customHeight="false" outlineLevel="0" collapsed="false">
      <c r="A67" s="11" t="s">
        <v>112</v>
      </c>
      <c r="B67" s="11" t="s">
        <v>51</v>
      </c>
      <c r="C67" s="11" t="s">
        <v>37</v>
      </c>
      <c r="D67" s="11" t="n">
        <v>51</v>
      </c>
      <c r="E67" s="11" t="n">
        <v>12</v>
      </c>
      <c r="F67" s="12" t="n">
        <v>90100</v>
      </c>
      <c r="G67" s="11" t="n">
        <v>3</v>
      </c>
      <c r="H67" s="11" t="s">
        <v>38</v>
      </c>
      <c r="I67" s="11" t="s">
        <v>38</v>
      </c>
      <c r="J67" s="11" t="str">
        <f aca="false">IF(E67&lt;=2,"0-2 yrs",IF(E67&lt;=5,"3-5 yrs",IF(E67&lt;=10,"6-10 yrs","10+ yrs")))</f>
        <v>10+ yrs</v>
      </c>
      <c r="K67" s="11" t="str">
        <f aca="false">IF(F67&lt;35000,"Low",IF(F67&lt;70000,"Medium","High"))</f>
        <v>High</v>
      </c>
    </row>
    <row r="68" customFormat="false" ht="15" hidden="false" customHeight="false" outlineLevel="0" collapsed="false">
      <c r="A68" s="11" t="s">
        <v>113</v>
      </c>
      <c r="B68" s="11" t="s">
        <v>36</v>
      </c>
      <c r="C68" s="11" t="s">
        <v>42</v>
      </c>
      <c r="D68" s="11" t="n">
        <v>27</v>
      </c>
      <c r="E68" s="11" t="n">
        <v>3</v>
      </c>
      <c r="F68" s="12" t="n">
        <v>49200</v>
      </c>
      <c r="G68" s="11" t="n">
        <v>3</v>
      </c>
      <c r="H68" s="11" t="s">
        <v>43</v>
      </c>
      <c r="I68" s="11" t="s">
        <v>43</v>
      </c>
      <c r="J68" s="11" t="str">
        <f aca="false">IF(E68&lt;=2,"0-2 yrs",IF(E68&lt;=5,"3-5 yrs",IF(E68&lt;=10,"6-10 yrs","10+ yrs")))</f>
        <v>3-5 yrs</v>
      </c>
      <c r="K68" s="11" t="str">
        <f aca="false">IF(F68&lt;35000,"Low",IF(F68&lt;70000,"Medium","High"))</f>
        <v>Medium</v>
      </c>
    </row>
    <row r="69" customFormat="false" ht="15" hidden="false" customHeight="false" outlineLevel="0" collapsed="false">
      <c r="A69" s="11" t="s">
        <v>114</v>
      </c>
      <c r="B69" s="11" t="s">
        <v>41</v>
      </c>
      <c r="C69" s="11" t="s">
        <v>42</v>
      </c>
      <c r="D69" s="11" t="n">
        <v>32</v>
      </c>
      <c r="E69" s="11" t="n">
        <v>5</v>
      </c>
      <c r="F69" s="12" t="n">
        <v>61200</v>
      </c>
      <c r="G69" s="11" t="n">
        <v>2</v>
      </c>
      <c r="H69" s="11" t="s">
        <v>38</v>
      </c>
      <c r="I69" s="11" t="s">
        <v>43</v>
      </c>
      <c r="J69" s="11" t="str">
        <f aca="false">IF(E69&lt;=2,"0-2 yrs",IF(E69&lt;=5,"3-5 yrs",IF(E69&lt;=10,"6-10 yrs","10+ yrs")))</f>
        <v>3-5 yrs</v>
      </c>
      <c r="K69" s="11" t="str">
        <f aca="false">IF(F69&lt;35000,"Low",IF(F69&lt;70000,"Medium","High"))</f>
        <v>Medium</v>
      </c>
    </row>
    <row r="70" customFormat="false" ht="15" hidden="false" customHeight="false" outlineLevel="0" collapsed="false">
      <c r="A70" s="11" t="s">
        <v>115</v>
      </c>
      <c r="B70" s="11" t="s">
        <v>51</v>
      </c>
      <c r="C70" s="11" t="s">
        <v>42</v>
      </c>
      <c r="D70" s="11" t="n">
        <v>55</v>
      </c>
      <c r="E70" s="11" t="n">
        <v>5</v>
      </c>
      <c r="F70" s="12" t="n">
        <v>66400</v>
      </c>
      <c r="G70" s="11" t="n">
        <v>3</v>
      </c>
      <c r="H70" s="11" t="s">
        <v>43</v>
      </c>
      <c r="I70" s="11" t="s">
        <v>43</v>
      </c>
      <c r="J70" s="11" t="str">
        <f aca="false">IF(E70&lt;=2,"0-2 yrs",IF(E70&lt;=5,"3-5 yrs",IF(E70&lt;=10,"6-10 yrs","10+ yrs")))</f>
        <v>3-5 yrs</v>
      </c>
      <c r="K70" s="11" t="str">
        <f aca="false">IF(F70&lt;35000,"Low",IF(F70&lt;70000,"Medium","High"))</f>
        <v>Medium</v>
      </c>
    </row>
    <row r="71" customFormat="false" ht="15" hidden="false" customHeight="false" outlineLevel="0" collapsed="false">
      <c r="A71" s="11" t="s">
        <v>116</v>
      </c>
      <c r="B71" s="11" t="s">
        <v>36</v>
      </c>
      <c r="C71" s="11" t="s">
        <v>37</v>
      </c>
      <c r="D71" s="11" t="n">
        <v>52</v>
      </c>
      <c r="E71" s="11" t="n">
        <v>4</v>
      </c>
      <c r="F71" s="12" t="n">
        <v>49400</v>
      </c>
      <c r="G71" s="11" t="n">
        <v>3</v>
      </c>
      <c r="H71" s="11" t="s">
        <v>38</v>
      </c>
      <c r="I71" s="11" t="s">
        <v>43</v>
      </c>
      <c r="J71" s="11" t="str">
        <f aca="false">IF(E71&lt;=2,"0-2 yrs",IF(E71&lt;=5,"3-5 yrs",IF(E71&lt;=10,"6-10 yrs","10+ yrs")))</f>
        <v>3-5 yrs</v>
      </c>
      <c r="K71" s="11" t="str">
        <f aca="false">IF(F71&lt;35000,"Low",IF(F71&lt;70000,"Medium","High"))</f>
        <v>Medium</v>
      </c>
    </row>
    <row r="72" customFormat="false" ht="15" hidden="false" customHeight="false" outlineLevel="0" collapsed="false">
      <c r="A72" s="11" t="s">
        <v>117</v>
      </c>
      <c r="B72" s="11" t="s">
        <v>46</v>
      </c>
      <c r="C72" s="11" t="s">
        <v>42</v>
      </c>
      <c r="D72" s="11" t="n">
        <v>30</v>
      </c>
      <c r="E72" s="11" t="n">
        <v>10</v>
      </c>
      <c r="F72" s="12" t="n">
        <v>62800</v>
      </c>
      <c r="G72" s="11" t="n">
        <v>3</v>
      </c>
      <c r="H72" s="11" t="s">
        <v>43</v>
      </c>
      <c r="I72" s="11" t="s">
        <v>38</v>
      </c>
      <c r="J72" s="11" t="str">
        <f aca="false">IF(E72&lt;=2,"0-2 yrs",IF(E72&lt;=5,"3-5 yrs",IF(E72&lt;=10,"6-10 yrs","10+ yrs")))</f>
        <v>6-10 yrs</v>
      </c>
      <c r="K72" s="11" t="str">
        <f aca="false">IF(F72&lt;35000,"Low",IF(F72&lt;70000,"Medium","High"))</f>
        <v>Medium</v>
      </c>
    </row>
    <row r="73" customFormat="false" ht="15" hidden="false" customHeight="false" outlineLevel="0" collapsed="false">
      <c r="A73" s="11" t="s">
        <v>118</v>
      </c>
      <c r="B73" s="11" t="s">
        <v>46</v>
      </c>
      <c r="C73" s="11" t="s">
        <v>37</v>
      </c>
      <c r="D73" s="11" t="n">
        <v>28</v>
      </c>
      <c r="E73" s="11" t="n">
        <v>8</v>
      </c>
      <c r="F73" s="12" t="n">
        <v>55200</v>
      </c>
      <c r="G73" s="11" t="n">
        <v>3</v>
      </c>
      <c r="H73" s="11" t="s">
        <v>38</v>
      </c>
      <c r="I73" s="11" t="s">
        <v>43</v>
      </c>
      <c r="J73" s="11" t="str">
        <f aca="false">IF(E73&lt;=2,"0-2 yrs",IF(E73&lt;=5,"3-5 yrs",IF(E73&lt;=10,"6-10 yrs","10+ yrs")))</f>
        <v>6-10 yrs</v>
      </c>
      <c r="K73" s="11" t="str">
        <f aca="false">IF(F73&lt;35000,"Low",IF(F73&lt;70000,"Medium","High"))</f>
        <v>Medium</v>
      </c>
    </row>
    <row r="74" customFormat="false" ht="15" hidden="false" customHeight="false" outlineLevel="0" collapsed="false">
      <c r="A74" s="11" t="s">
        <v>119</v>
      </c>
      <c r="B74" s="11" t="s">
        <v>48</v>
      </c>
      <c r="C74" s="11" t="s">
        <v>37</v>
      </c>
      <c r="D74" s="11" t="n">
        <v>47</v>
      </c>
      <c r="E74" s="11" t="n">
        <v>1</v>
      </c>
      <c r="F74" s="12" t="n">
        <v>51700</v>
      </c>
      <c r="G74" s="11" t="n">
        <v>4</v>
      </c>
      <c r="H74" s="11" t="s">
        <v>38</v>
      </c>
      <c r="I74" s="11" t="s">
        <v>38</v>
      </c>
      <c r="J74" s="11" t="str">
        <f aca="false">IF(E74&lt;=2,"0-2 yrs",IF(E74&lt;=5,"3-5 yrs",IF(E74&lt;=10,"6-10 yrs","10+ yrs")))</f>
        <v>0-2 yrs</v>
      </c>
      <c r="K74" s="11" t="str">
        <f aca="false">IF(F74&lt;35000,"Low",IF(F74&lt;70000,"Medium","High"))</f>
        <v>Medium</v>
      </c>
    </row>
    <row r="75" customFormat="false" ht="15" hidden="false" customHeight="false" outlineLevel="0" collapsed="false">
      <c r="A75" s="11" t="s">
        <v>120</v>
      </c>
      <c r="B75" s="11" t="s">
        <v>36</v>
      </c>
      <c r="C75" s="11" t="s">
        <v>37</v>
      </c>
      <c r="D75" s="11" t="n">
        <v>24</v>
      </c>
      <c r="E75" s="11" t="n">
        <v>4</v>
      </c>
      <c r="F75" s="12" t="n">
        <v>48100</v>
      </c>
      <c r="G75" s="11" t="n">
        <v>4</v>
      </c>
      <c r="H75" s="11" t="s">
        <v>38</v>
      </c>
      <c r="I75" s="11" t="s">
        <v>43</v>
      </c>
      <c r="J75" s="11" t="str">
        <f aca="false">IF(E75&lt;=2,"0-2 yrs",IF(E75&lt;=5,"3-5 yrs",IF(E75&lt;=10,"6-10 yrs","10+ yrs")))</f>
        <v>3-5 yrs</v>
      </c>
      <c r="K75" s="11" t="str">
        <f aca="false">IF(F75&lt;35000,"Low",IF(F75&lt;70000,"Medium","High"))</f>
        <v>Medium</v>
      </c>
    </row>
    <row r="76" customFormat="false" ht="15" hidden="false" customHeight="false" outlineLevel="0" collapsed="false">
      <c r="A76" s="11" t="s">
        <v>121</v>
      </c>
      <c r="B76" s="11" t="s">
        <v>36</v>
      </c>
      <c r="C76" s="11" t="s">
        <v>42</v>
      </c>
      <c r="D76" s="11" t="n">
        <v>47</v>
      </c>
      <c r="E76" s="11" t="n">
        <v>1</v>
      </c>
      <c r="F76" s="12" t="n">
        <v>32700</v>
      </c>
      <c r="G76" s="11" t="n">
        <v>4</v>
      </c>
      <c r="H76" s="11" t="s">
        <v>43</v>
      </c>
      <c r="I76" s="11" t="s">
        <v>43</v>
      </c>
      <c r="J76" s="11" t="str">
        <f aca="false">IF(E76&lt;=2,"0-2 yrs",IF(E76&lt;=5,"3-5 yrs",IF(E76&lt;=10,"6-10 yrs","10+ yrs")))</f>
        <v>0-2 yrs</v>
      </c>
      <c r="K76" s="11" t="str">
        <f aca="false">IF(F76&lt;35000,"Low",IF(F76&lt;70000,"Medium","High"))</f>
        <v>Low</v>
      </c>
    </row>
    <row r="77" customFormat="false" ht="15" hidden="false" customHeight="false" outlineLevel="0" collapsed="false">
      <c r="A77" s="11" t="s">
        <v>122</v>
      </c>
      <c r="B77" s="11" t="s">
        <v>46</v>
      </c>
      <c r="C77" s="11" t="s">
        <v>42</v>
      </c>
      <c r="D77" s="11" t="n">
        <v>37</v>
      </c>
      <c r="E77" s="11" t="n">
        <v>2</v>
      </c>
      <c r="F77" s="12" t="n">
        <v>46400</v>
      </c>
      <c r="G77" s="11" t="n">
        <v>1</v>
      </c>
      <c r="H77" s="11" t="s">
        <v>43</v>
      </c>
      <c r="I77" s="11" t="s">
        <v>38</v>
      </c>
      <c r="J77" s="11" t="str">
        <f aca="false">IF(E77&lt;=2,"0-2 yrs",IF(E77&lt;=5,"3-5 yrs",IF(E77&lt;=10,"6-10 yrs","10+ yrs")))</f>
        <v>0-2 yrs</v>
      </c>
      <c r="K77" s="11" t="str">
        <f aca="false">IF(F77&lt;35000,"Low",IF(F77&lt;70000,"Medium","High"))</f>
        <v>Medium</v>
      </c>
    </row>
    <row r="78" customFormat="false" ht="15" hidden="false" customHeight="false" outlineLevel="0" collapsed="false">
      <c r="A78" s="11" t="s">
        <v>123</v>
      </c>
      <c r="B78" s="11" t="s">
        <v>51</v>
      </c>
      <c r="C78" s="11" t="s">
        <v>42</v>
      </c>
      <c r="D78" s="11" t="n">
        <v>46</v>
      </c>
      <c r="E78" s="11" t="n">
        <v>6</v>
      </c>
      <c r="F78" s="12" t="n">
        <v>86000</v>
      </c>
      <c r="G78" s="11" t="n">
        <v>3</v>
      </c>
      <c r="H78" s="11" t="s">
        <v>43</v>
      </c>
      <c r="I78" s="11" t="s">
        <v>43</v>
      </c>
      <c r="J78" s="11" t="str">
        <f aca="false">IF(E78&lt;=2,"0-2 yrs",IF(E78&lt;=5,"3-5 yrs",IF(E78&lt;=10,"6-10 yrs","10+ yrs")))</f>
        <v>6-10 yrs</v>
      </c>
      <c r="K78" s="11" t="str">
        <f aca="false">IF(F78&lt;35000,"Low",IF(F78&lt;70000,"Medium","High"))</f>
        <v>High</v>
      </c>
    </row>
    <row r="79" customFormat="false" ht="15" hidden="false" customHeight="false" outlineLevel="0" collapsed="false">
      <c r="A79" s="11" t="s">
        <v>124</v>
      </c>
      <c r="B79" s="11" t="s">
        <v>36</v>
      </c>
      <c r="C79" s="11" t="s">
        <v>37</v>
      </c>
      <c r="D79" s="11" t="n">
        <v>30</v>
      </c>
      <c r="E79" s="11" t="n">
        <v>2</v>
      </c>
      <c r="F79" s="12" t="n">
        <v>49100</v>
      </c>
      <c r="G79" s="11" t="n">
        <v>3</v>
      </c>
      <c r="H79" s="11" t="s">
        <v>38</v>
      </c>
      <c r="I79" s="11" t="s">
        <v>43</v>
      </c>
      <c r="J79" s="11" t="str">
        <f aca="false">IF(E79&lt;=2,"0-2 yrs",IF(E79&lt;=5,"3-5 yrs",IF(E79&lt;=10,"6-10 yrs","10+ yrs")))</f>
        <v>0-2 yrs</v>
      </c>
      <c r="K79" s="11" t="str">
        <f aca="false">IF(F79&lt;35000,"Low",IF(F79&lt;70000,"Medium","High"))</f>
        <v>Medium</v>
      </c>
    </row>
    <row r="80" customFormat="false" ht="15" hidden="false" customHeight="false" outlineLevel="0" collapsed="false">
      <c r="A80" s="11" t="s">
        <v>125</v>
      </c>
      <c r="B80" s="11" t="s">
        <v>51</v>
      </c>
      <c r="C80" s="11" t="s">
        <v>37</v>
      </c>
      <c r="D80" s="11" t="n">
        <v>36</v>
      </c>
      <c r="E80" s="11" t="n">
        <v>4</v>
      </c>
      <c r="F80" s="12" t="n">
        <v>82600</v>
      </c>
      <c r="G80" s="11" t="n">
        <v>2</v>
      </c>
      <c r="H80" s="11" t="s">
        <v>38</v>
      </c>
      <c r="I80" s="11" t="s">
        <v>38</v>
      </c>
      <c r="J80" s="11" t="str">
        <f aca="false">IF(E80&lt;=2,"0-2 yrs",IF(E80&lt;=5,"3-5 yrs",IF(E80&lt;=10,"6-10 yrs","10+ yrs")))</f>
        <v>3-5 yrs</v>
      </c>
      <c r="K80" s="11" t="str">
        <f aca="false">IF(F80&lt;35000,"Low",IF(F80&lt;70000,"Medium","High"))</f>
        <v>High</v>
      </c>
    </row>
    <row r="81" customFormat="false" ht="15" hidden="false" customHeight="false" outlineLevel="0" collapsed="false">
      <c r="A81" s="11" t="s">
        <v>126</v>
      </c>
      <c r="B81" s="11" t="s">
        <v>48</v>
      </c>
      <c r="C81" s="11" t="s">
        <v>42</v>
      </c>
      <c r="D81" s="11" t="n">
        <v>40</v>
      </c>
      <c r="E81" s="11" t="n">
        <v>11</v>
      </c>
      <c r="F81" s="12" t="n">
        <v>79600</v>
      </c>
      <c r="G81" s="11" t="n">
        <v>1</v>
      </c>
      <c r="H81" s="11" t="s">
        <v>43</v>
      </c>
      <c r="I81" s="11" t="s">
        <v>43</v>
      </c>
      <c r="J81" s="11" t="str">
        <f aca="false">IF(E81&lt;=2,"0-2 yrs",IF(E81&lt;=5,"3-5 yrs",IF(E81&lt;=10,"6-10 yrs","10+ yrs")))</f>
        <v>10+ yrs</v>
      </c>
      <c r="K81" s="11" t="str">
        <f aca="false">IF(F81&lt;35000,"Low",IF(F81&lt;70000,"Medium","High"))</f>
        <v>High</v>
      </c>
    </row>
    <row r="82" customFormat="false" ht="15" hidden="false" customHeight="false" outlineLevel="0" collapsed="false">
      <c r="A82" s="11" t="s">
        <v>127</v>
      </c>
      <c r="B82" s="11" t="s">
        <v>54</v>
      </c>
      <c r="C82" s="11" t="s">
        <v>37</v>
      </c>
      <c r="D82" s="11" t="n">
        <v>45</v>
      </c>
      <c r="E82" s="11" t="n">
        <v>7</v>
      </c>
      <c r="F82" s="12" t="n">
        <v>55600</v>
      </c>
      <c r="G82" s="11" t="n">
        <v>4</v>
      </c>
      <c r="H82" s="11" t="s">
        <v>43</v>
      </c>
      <c r="I82" s="11" t="s">
        <v>43</v>
      </c>
      <c r="J82" s="11" t="str">
        <f aca="false">IF(E82&lt;=2,"0-2 yrs",IF(E82&lt;=5,"3-5 yrs",IF(E82&lt;=10,"6-10 yrs","10+ yrs")))</f>
        <v>6-10 yrs</v>
      </c>
      <c r="K82" s="11" t="str">
        <f aca="false">IF(F82&lt;35000,"Low",IF(F82&lt;70000,"Medium","High"))</f>
        <v>Medium</v>
      </c>
    </row>
    <row r="83" customFormat="false" ht="15" hidden="false" customHeight="false" outlineLevel="0" collapsed="false">
      <c r="A83" s="11" t="s">
        <v>128</v>
      </c>
      <c r="B83" s="11" t="s">
        <v>54</v>
      </c>
      <c r="C83" s="11" t="s">
        <v>42</v>
      </c>
      <c r="D83" s="11" t="n">
        <v>33</v>
      </c>
      <c r="E83" s="11" t="n">
        <v>6</v>
      </c>
      <c r="F83" s="12" t="n">
        <v>71600</v>
      </c>
      <c r="G83" s="11" t="n">
        <v>4</v>
      </c>
      <c r="H83" s="11" t="s">
        <v>38</v>
      </c>
      <c r="I83" s="11" t="s">
        <v>43</v>
      </c>
      <c r="J83" s="11" t="str">
        <f aca="false">IF(E83&lt;=2,"0-2 yrs",IF(E83&lt;=5,"3-5 yrs",IF(E83&lt;=10,"6-10 yrs","10+ yrs")))</f>
        <v>6-10 yrs</v>
      </c>
      <c r="K83" s="11" t="str">
        <f aca="false">IF(F83&lt;35000,"Low",IF(F83&lt;70000,"Medium","High"))</f>
        <v>High</v>
      </c>
    </row>
    <row r="84" customFormat="false" ht="15" hidden="false" customHeight="false" outlineLevel="0" collapsed="false">
      <c r="A84" s="11" t="s">
        <v>129</v>
      </c>
      <c r="B84" s="11" t="s">
        <v>51</v>
      </c>
      <c r="C84" s="11" t="s">
        <v>42</v>
      </c>
      <c r="D84" s="11" t="n">
        <v>45</v>
      </c>
      <c r="E84" s="11" t="n">
        <v>7</v>
      </c>
      <c r="F84" s="12" t="n">
        <v>84000</v>
      </c>
      <c r="G84" s="11" t="n">
        <v>1</v>
      </c>
      <c r="H84" s="11" t="s">
        <v>43</v>
      </c>
      <c r="I84" s="11" t="s">
        <v>43</v>
      </c>
      <c r="J84" s="11" t="str">
        <f aca="false">IF(E84&lt;=2,"0-2 yrs",IF(E84&lt;=5,"3-5 yrs",IF(E84&lt;=10,"6-10 yrs","10+ yrs")))</f>
        <v>6-10 yrs</v>
      </c>
      <c r="K84" s="11" t="str">
        <f aca="false">IF(F84&lt;35000,"Low",IF(F84&lt;70000,"Medium","High"))</f>
        <v>High</v>
      </c>
    </row>
    <row r="85" customFormat="false" ht="15" hidden="false" customHeight="false" outlineLevel="0" collapsed="false">
      <c r="A85" s="11" t="s">
        <v>130</v>
      </c>
      <c r="B85" s="11" t="s">
        <v>41</v>
      </c>
      <c r="C85" s="11" t="s">
        <v>42</v>
      </c>
      <c r="D85" s="11" t="n">
        <v>36</v>
      </c>
      <c r="E85" s="11" t="n">
        <v>7</v>
      </c>
      <c r="F85" s="12" t="n">
        <v>63600</v>
      </c>
      <c r="G85" s="11" t="n">
        <v>3</v>
      </c>
      <c r="H85" s="11" t="s">
        <v>43</v>
      </c>
      <c r="I85" s="11" t="s">
        <v>38</v>
      </c>
      <c r="J85" s="11" t="str">
        <f aca="false">IF(E85&lt;=2,"0-2 yrs",IF(E85&lt;=5,"3-5 yrs",IF(E85&lt;=10,"6-10 yrs","10+ yrs")))</f>
        <v>6-10 yrs</v>
      </c>
      <c r="K85" s="11" t="str">
        <f aca="false">IF(F85&lt;35000,"Low",IF(F85&lt;70000,"Medium","High"))</f>
        <v>Medium</v>
      </c>
    </row>
    <row r="86" customFormat="false" ht="15" hidden="false" customHeight="false" outlineLevel="0" collapsed="false">
      <c r="A86" s="11" t="s">
        <v>131</v>
      </c>
      <c r="B86" s="11" t="s">
        <v>51</v>
      </c>
      <c r="C86" s="11" t="s">
        <v>37</v>
      </c>
      <c r="D86" s="11" t="n">
        <v>55</v>
      </c>
      <c r="E86" s="11" t="n">
        <v>10</v>
      </c>
      <c r="F86" s="12" t="n">
        <v>97100</v>
      </c>
      <c r="G86" s="11" t="n">
        <v>4</v>
      </c>
      <c r="H86" s="11" t="s">
        <v>38</v>
      </c>
      <c r="I86" s="11" t="s">
        <v>43</v>
      </c>
      <c r="J86" s="11" t="str">
        <f aca="false">IF(E86&lt;=2,"0-2 yrs",IF(E86&lt;=5,"3-5 yrs",IF(E86&lt;=10,"6-10 yrs","10+ yrs")))</f>
        <v>6-10 yrs</v>
      </c>
      <c r="K86" s="11" t="str">
        <f aca="false">IF(F86&lt;35000,"Low",IF(F86&lt;70000,"Medium","High"))</f>
        <v>High</v>
      </c>
    </row>
    <row r="87" customFormat="false" ht="15" hidden="false" customHeight="false" outlineLevel="0" collapsed="false">
      <c r="A87" s="11" t="s">
        <v>132</v>
      </c>
      <c r="B87" s="11" t="s">
        <v>36</v>
      </c>
      <c r="C87" s="11" t="s">
        <v>37</v>
      </c>
      <c r="D87" s="11" t="n">
        <v>39</v>
      </c>
      <c r="E87" s="11" t="n">
        <v>11</v>
      </c>
      <c r="F87" s="12" t="n">
        <v>55400</v>
      </c>
      <c r="G87" s="11" t="n">
        <v>3</v>
      </c>
      <c r="H87" s="11" t="s">
        <v>38</v>
      </c>
      <c r="I87" s="11" t="s">
        <v>43</v>
      </c>
      <c r="J87" s="11" t="str">
        <f aca="false">IF(E87&lt;=2,"0-2 yrs",IF(E87&lt;=5,"3-5 yrs",IF(E87&lt;=10,"6-10 yrs","10+ yrs")))</f>
        <v>10+ yrs</v>
      </c>
      <c r="K87" s="11" t="str">
        <f aca="false">IF(F87&lt;35000,"Low",IF(F87&lt;70000,"Medium","High"))</f>
        <v>Medium</v>
      </c>
    </row>
    <row r="88" customFormat="false" ht="15" hidden="false" customHeight="false" outlineLevel="0" collapsed="false">
      <c r="A88" s="11" t="s">
        <v>133</v>
      </c>
      <c r="B88" s="11" t="s">
        <v>48</v>
      </c>
      <c r="C88" s="11" t="s">
        <v>42</v>
      </c>
      <c r="D88" s="11" t="n">
        <v>32</v>
      </c>
      <c r="E88" s="11" t="n">
        <v>9</v>
      </c>
      <c r="F88" s="12" t="n">
        <v>74600</v>
      </c>
      <c r="G88" s="11" t="n">
        <v>4</v>
      </c>
      <c r="H88" s="11" t="s">
        <v>43</v>
      </c>
      <c r="I88" s="11" t="s">
        <v>43</v>
      </c>
      <c r="J88" s="11" t="str">
        <f aca="false">IF(E88&lt;=2,"0-2 yrs",IF(E88&lt;=5,"3-5 yrs",IF(E88&lt;=10,"6-10 yrs","10+ yrs")))</f>
        <v>6-10 yrs</v>
      </c>
      <c r="K88" s="11" t="str">
        <f aca="false">IF(F88&lt;35000,"Low",IF(F88&lt;70000,"Medium","High"))</f>
        <v>High</v>
      </c>
    </row>
    <row r="89" customFormat="false" ht="15" hidden="false" customHeight="false" outlineLevel="0" collapsed="false">
      <c r="A89" s="11" t="s">
        <v>134</v>
      </c>
      <c r="B89" s="11" t="s">
        <v>41</v>
      </c>
      <c r="C89" s="11" t="s">
        <v>37</v>
      </c>
      <c r="D89" s="11" t="n">
        <v>39</v>
      </c>
      <c r="E89" s="11" t="n">
        <v>13</v>
      </c>
      <c r="F89" s="12" t="n">
        <v>66100</v>
      </c>
      <c r="G89" s="11" t="n">
        <v>2</v>
      </c>
      <c r="H89" s="11" t="s">
        <v>43</v>
      </c>
      <c r="I89" s="11" t="s">
        <v>43</v>
      </c>
      <c r="J89" s="11" t="str">
        <f aca="false">IF(E89&lt;=2,"0-2 yrs",IF(E89&lt;=5,"3-5 yrs",IF(E89&lt;=10,"6-10 yrs","10+ yrs")))</f>
        <v>10+ yrs</v>
      </c>
      <c r="K89" s="11" t="str">
        <f aca="false">IF(F89&lt;35000,"Low",IF(F89&lt;70000,"Medium","High"))</f>
        <v>Medium</v>
      </c>
    </row>
    <row r="90" customFormat="false" ht="15" hidden="false" customHeight="false" outlineLevel="0" collapsed="false">
      <c r="A90" s="11" t="s">
        <v>135</v>
      </c>
      <c r="B90" s="11" t="s">
        <v>46</v>
      </c>
      <c r="C90" s="11" t="s">
        <v>37</v>
      </c>
      <c r="D90" s="11" t="n">
        <v>41</v>
      </c>
      <c r="E90" s="11" t="n">
        <v>13</v>
      </c>
      <c r="F90" s="12" t="n">
        <v>66700</v>
      </c>
      <c r="G90" s="11" t="n">
        <v>2</v>
      </c>
      <c r="H90" s="11" t="s">
        <v>43</v>
      </c>
      <c r="I90" s="11" t="s">
        <v>38</v>
      </c>
      <c r="J90" s="11" t="str">
        <f aca="false">IF(E90&lt;=2,"0-2 yrs",IF(E90&lt;=5,"3-5 yrs",IF(E90&lt;=10,"6-10 yrs","10+ yrs")))</f>
        <v>10+ yrs</v>
      </c>
      <c r="K90" s="11" t="str">
        <f aca="false">IF(F90&lt;35000,"Low",IF(F90&lt;70000,"Medium","High"))</f>
        <v>Medium</v>
      </c>
    </row>
    <row r="91" customFormat="false" ht="15" hidden="false" customHeight="false" outlineLevel="0" collapsed="false">
      <c r="A91" s="11" t="s">
        <v>136</v>
      </c>
      <c r="B91" s="11" t="s">
        <v>46</v>
      </c>
      <c r="C91" s="11" t="s">
        <v>37</v>
      </c>
      <c r="D91" s="11" t="n">
        <v>25</v>
      </c>
      <c r="E91" s="11" t="n">
        <v>4</v>
      </c>
      <c r="F91" s="12" t="n">
        <v>56600</v>
      </c>
      <c r="G91" s="11" t="n">
        <v>2</v>
      </c>
      <c r="H91" s="11" t="s">
        <v>38</v>
      </c>
      <c r="I91" s="11" t="s">
        <v>38</v>
      </c>
      <c r="J91" s="11" t="str">
        <f aca="false">IF(E91&lt;=2,"0-2 yrs",IF(E91&lt;=5,"3-5 yrs",IF(E91&lt;=10,"6-10 yrs","10+ yrs")))</f>
        <v>3-5 yrs</v>
      </c>
      <c r="K91" s="11" t="str">
        <f aca="false">IF(F91&lt;35000,"Low",IF(F91&lt;70000,"Medium","High"))</f>
        <v>Medium</v>
      </c>
    </row>
    <row r="92" customFormat="false" ht="15" hidden="false" customHeight="false" outlineLevel="0" collapsed="false">
      <c r="A92" s="11" t="s">
        <v>137</v>
      </c>
      <c r="B92" s="11" t="s">
        <v>41</v>
      </c>
      <c r="C92" s="11" t="s">
        <v>37</v>
      </c>
      <c r="D92" s="11" t="n">
        <v>49</v>
      </c>
      <c r="E92" s="11" t="n">
        <v>9</v>
      </c>
      <c r="F92" s="12" t="n">
        <v>46600</v>
      </c>
      <c r="G92" s="11" t="n">
        <v>2</v>
      </c>
      <c r="H92" s="11" t="s">
        <v>43</v>
      </c>
      <c r="I92" s="11" t="s">
        <v>43</v>
      </c>
      <c r="J92" s="11" t="str">
        <f aca="false">IF(E92&lt;=2,"0-2 yrs",IF(E92&lt;=5,"3-5 yrs",IF(E92&lt;=10,"6-10 yrs","10+ yrs")))</f>
        <v>6-10 yrs</v>
      </c>
      <c r="K92" s="11" t="str">
        <f aca="false">IF(F92&lt;35000,"Low",IF(F92&lt;70000,"Medium","High"))</f>
        <v>Medium</v>
      </c>
    </row>
    <row r="93" customFormat="false" ht="15" hidden="false" customHeight="false" outlineLevel="0" collapsed="false">
      <c r="A93" s="11" t="s">
        <v>138</v>
      </c>
      <c r="B93" s="11" t="s">
        <v>36</v>
      </c>
      <c r="C93" s="11" t="s">
        <v>42</v>
      </c>
      <c r="D93" s="11" t="n">
        <v>43</v>
      </c>
      <c r="E93" s="11" t="n">
        <v>9</v>
      </c>
      <c r="F93" s="12" t="n">
        <v>48100</v>
      </c>
      <c r="G93" s="11" t="n">
        <v>3</v>
      </c>
      <c r="H93" s="11" t="s">
        <v>43</v>
      </c>
      <c r="I93" s="11" t="s">
        <v>43</v>
      </c>
      <c r="J93" s="11" t="str">
        <f aca="false">IF(E93&lt;=2,"0-2 yrs",IF(E93&lt;=5,"3-5 yrs",IF(E93&lt;=10,"6-10 yrs","10+ yrs")))</f>
        <v>6-10 yrs</v>
      </c>
      <c r="K93" s="11" t="str">
        <f aca="false">IF(F93&lt;35000,"Low",IF(F93&lt;70000,"Medium","High"))</f>
        <v>Medium</v>
      </c>
    </row>
    <row r="94" customFormat="false" ht="15" hidden="false" customHeight="false" outlineLevel="0" collapsed="false">
      <c r="A94" s="11" t="s">
        <v>139</v>
      </c>
      <c r="B94" s="11" t="s">
        <v>51</v>
      </c>
      <c r="C94" s="11" t="s">
        <v>42</v>
      </c>
      <c r="D94" s="11" t="n">
        <v>29</v>
      </c>
      <c r="E94" s="11" t="n">
        <v>7</v>
      </c>
      <c r="F94" s="12" t="n">
        <v>90600</v>
      </c>
      <c r="G94" s="11" t="n">
        <v>3</v>
      </c>
      <c r="H94" s="11" t="s">
        <v>43</v>
      </c>
      <c r="I94" s="11" t="s">
        <v>43</v>
      </c>
      <c r="J94" s="11" t="str">
        <f aca="false">IF(E94&lt;=2,"0-2 yrs",IF(E94&lt;=5,"3-5 yrs",IF(E94&lt;=10,"6-10 yrs","10+ yrs")))</f>
        <v>6-10 yrs</v>
      </c>
      <c r="K94" s="11" t="str">
        <f aca="false">IF(F94&lt;35000,"Low",IF(F94&lt;70000,"Medium","High"))</f>
        <v>High</v>
      </c>
    </row>
    <row r="95" customFormat="false" ht="15" hidden="false" customHeight="false" outlineLevel="0" collapsed="false">
      <c r="A95" s="11" t="s">
        <v>140</v>
      </c>
      <c r="B95" s="11" t="s">
        <v>41</v>
      </c>
      <c r="C95" s="11" t="s">
        <v>37</v>
      </c>
      <c r="D95" s="11" t="n">
        <v>35</v>
      </c>
      <c r="E95" s="11" t="n">
        <v>1</v>
      </c>
      <c r="F95" s="12" t="n">
        <v>34000</v>
      </c>
      <c r="G95" s="11" t="n">
        <v>1</v>
      </c>
      <c r="H95" s="11" t="s">
        <v>43</v>
      </c>
      <c r="I95" s="11" t="s">
        <v>43</v>
      </c>
      <c r="J95" s="11" t="str">
        <f aca="false">IF(E95&lt;=2,"0-2 yrs",IF(E95&lt;=5,"3-5 yrs",IF(E95&lt;=10,"6-10 yrs","10+ yrs")))</f>
        <v>0-2 yrs</v>
      </c>
      <c r="K95" s="11" t="str">
        <f aca="false">IF(F95&lt;35000,"Low",IF(F95&lt;70000,"Medium","High"))</f>
        <v>Low</v>
      </c>
    </row>
    <row r="96" customFormat="false" ht="15" hidden="false" customHeight="false" outlineLevel="0" collapsed="false">
      <c r="A96" s="11" t="s">
        <v>141</v>
      </c>
      <c r="B96" s="11" t="s">
        <v>54</v>
      </c>
      <c r="C96" s="11" t="s">
        <v>42</v>
      </c>
      <c r="D96" s="11" t="n">
        <v>27</v>
      </c>
      <c r="E96" s="11" t="n">
        <v>1</v>
      </c>
      <c r="F96" s="12" t="n">
        <v>48400</v>
      </c>
      <c r="G96" s="11" t="n">
        <v>1</v>
      </c>
      <c r="H96" s="11" t="s">
        <v>38</v>
      </c>
      <c r="I96" s="11" t="s">
        <v>38</v>
      </c>
      <c r="J96" s="11" t="str">
        <f aca="false">IF(E96&lt;=2,"0-2 yrs",IF(E96&lt;=5,"3-5 yrs",IF(E96&lt;=10,"6-10 yrs","10+ yrs")))</f>
        <v>0-2 yrs</v>
      </c>
      <c r="K96" s="11" t="str">
        <f aca="false">IF(F96&lt;35000,"Low",IF(F96&lt;70000,"Medium","High"))</f>
        <v>Medium</v>
      </c>
    </row>
    <row r="97" customFormat="false" ht="15" hidden="false" customHeight="false" outlineLevel="0" collapsed="false">
      <c r="A97" s="11" t="s">
        <v>142</v>
      </c>
      <c r="B97" s="11" t="s">
        <v>54</v>
      </c>
      <c r="C97" s="11" t="s">
        <v>37</v>
      </c>
      <c r="D97" s="11" t="n">
        <v>27</v>
      </c>
      <c r="E97" s="11" t="n">
        <v>7</v>
      </c>
      <c r="F97" s="12" t="n">
        <v>64600</v>
      </c>
      <c r="G97" s="11" t="n">
        <v>4</v>
      </c>
      <c r="H97" s="11" t="s">
        <v>43</v>
      </c>
      <c r="I97" s="11" t="s">
        <v>43</v>
      </c>
      <c r="J97" s="11" t="str">
        <f aca="false">IF(E97&lt;=2,"0-2 yrs",IF(E97&lt;=5,"3-5 yrs",IF(E97&lt;=10,"6-10 yrs","10+ yrs")))</f>
        <v>6-10 yrs</v>
      </c>
      <c r="K97" s="11" t="str">
        <f aca="false">IF(F97&lt;35000,"Low",IF(F97&lt;70000,"Medium","High"))</f>
        <v>Medium</v>
      </c>
    </row>
    <row r="98" customFormat="false" ht="15" hidden="false" customHeight="false" outlineLevel="0" collapsed="false">
      <c r="A98" s="11" t="s">
        <v>143</v>
      </c>
      <c r="B98" s="11" t="s">
        <v>48</v>
      </c>
      <c r="C98" s="11" t="s">
        <v>37</v>
      </c>
      <c r="D98" s="11" t="n">
        <v>36</v>
      </c>
      <c r="E98" s="11" t="n">
        <v>12</v>
      </c>
      <c r="F98" s="12" t="n">
        <v>99200</v>
      </c>
      <c r="G98" s="11" t="n">
        <v>4</v>
      </c>
      <c r="H98" s="11" t="s">
        <v>38</v>
      </c>
      <c r="I98" s="11" t="s">
        <v>43</v>
      </c>
      <c r="J98" s="11" t="str">
        <f aca="false">IF(E98&lt;=2,"0-2 yrs",IF(E98&lt;=5,"3-5 yrs",IF(E98&lt;=10,"6-10 yrs","10+ yrs")))</f>
        <v>10+ yrs</v>
      </c>
      <c r="K98" s="11" t="str">
        <f aca="false">IF(F98&lt;35000,"Low",IF(F98&lt;70000,"Medium","High"))</f>
        <v>High</v>
      </c>
    </row>
    <row r="99" customFormat="false" ht="15" hidden="false" customHeight="false" outlineLevel="0" collapsed="false">
      <c r="A99" s="11" t="s">
        <v>144</v>
      </c>
      <c r="B99" s="11" t="s">
        <v>36</v>
      </c>
      <c r="C99" s="11" t="s">
        <v>42</v>
      </c>
      <c r="D99" s="11" t="n">
        <v>25</v>
      </c>
      <c r="E99" s="11" t="n">
        <v>5</v>
      </c>
      <c r="F99" s="12" t="n">
        <v>48400</v>
      </c>
      <c r="G99" s="11" t="n">
        <v>2</v>
      </c>
      <c r="H99" s="11" t="s">
        <v>43</v>
      </c>
      <c r="I99" s="11" t="s">
        <v>43</v>
      </c>
      <c r="J99" s="11" t="str">
        <f aca="false">IF(E99&lt;=2,"0-2 yrs",IF(E99&lt;=5,"3-5 yrs",IF(E99&lt;=10,"6-10 yrs","10+ yrs")))</f>
        <v>3-5 yrs</v>
      </c>
      <c r="K99" s="11" t="str">
        <f aca="false">IF(F99&lt;35000,"Low",IF(F99&lt;70000,"Medium","High"))</f>
        <v>Medium</v>
      </c>
    </row>
    <row r="100" customFormat="false" ht="15" hidden="false" customHeight="false" outlineLevel="0" collapsed="false">
      <c r="A100" s="11" t="s">
        <v>145</v>
      </c>
      <c r="B100" s="11" t="s">
        <v>48</v>
      </c>
      <c r="C100" s="11" t="s">
        <v>42</v>
      </c>
      <c r="D100" s="11" t="n">
        <v>32</v>
      </c>
      <c r="E100" s="11" t="n">
        <v>3</v>
      </c>
      <c r="F100" s="12" t="n">
        <v>61500</v>
      </c>
      <c r="G100" s="11" t="n">
        <v>4</v>
      </c>
      <c r="H100" s="11" t="s">
        <v>43</v>
      </c>
      <c r="I100" s="11" t="s">
        <v>43</v>
      </c>
      <c r="J100" s="11" t="str">
        <f aca="false">IF(E100&lt;=2,"0-2 yrs",IF(E100&lt;=5,"3-5 yrs",IF(E100&lt;=10,"6-10 yrs","10+ yrs")))</f>
        <v>3-5 yrs</v>
      </c>
      <c r="K100" s="11" t="str">
        <f aca="false">IF(F100&lt;35000,"Low",IF(F100&lt;70000,"Medium","High"))</f>
        <v>Medium</v>
      </c>
    </row>
    <row r="101" customFormat="false" ht="15" hidden="false" customHeight="false" outlineLevel="0" collapsed="false">
      <c r="A101" s="11" t="s">
        <v>146</v>
      </c>
      <c r="B101" s="11" t="s">
        <v>46</v>
      </c>
      <c r="C101" s="11" t="s">
        <v>42</v>
      </c>
      <c r="D101" s="11" t="n">
        <v>47</v>
      </c>
      <c r="E101" s="11" t="n">
        <v>3</v>
      </c>
      <c r="F101" s="12" t="n">
        <v>68500</v>
      </c>
      <c r="G101" s="11" t="n">
        <v>2</v>
      </c>
      <c r="H101" s="11" t="s">
        <v>38</v>
      </c>
      <c r="I101" s="11" t="s">
        <v>43</v>
      </c>
      <c r="J101" s="11" t="str">
        <f aca="false">IF(E101&lt;=2,"0-2 yrs",IF(E101&lt;=5,"3-5 yrs",IF(E101&lt;=10,"6-10 yrs","10+ yrs")))</f>
        <v>3-5 yrs</v>
      </c>
      <c r="K101" s="11" t="str">
        <f aca="false">IF(F101&lt;35000,"Low",IF(F101&lt;70000,"Medium","High"))</f>
        <v>Medium</v>
      </c>
    </row>
    <row r="102" customFormat="false" ht="15" hidden="false" customHeight="false" outlineLevel="0" collapsed="false">
      <c r="A102" s="11" t="s">
        <v>147</v>
      </c>
      <c r="B102" s="11" t="s">
        <v>36</v>
      </c>
      <c r="C102" s="11" t="s">
        <v>37</v>
      </c>
      <c r="D102" s="11" t="n">
        <v>33</v>
      </c>
      <c r="E102" s="11" t="n">
        <v>12</v>
      </c>
      <c r="F102" s="12" t="n">
        <v>43700</v>
      </c>
      <c r="G102" s="11" t="n">
        <v>2</v>
      </c>
      <c r="H102" s="11" t="s">
        <v>43</v>
      </c>
      <c r="I102" s="11" t="s">
        <v>43</v>
      </c>
      <c r="J102" s="11" t="str">
        <f aca="false">IF(E102&lt;=2,"0-2 yrs",IF(E102&lt;=5,"3-5 yrs",IF(E102&lt;=10,"6-10 yrs","10+ yrs")))</f>
        <v>10+ yrs</v>
      </c>
      <c r="K102" s="11" t="str">
        <f aca="false">IF(F102&lt;35000,"Low",IF(F102&lt;70000,"Medium","High"))</f>
        <v>Medium</v>
      </c>
    </row>
    <row r="103" customFormat="false" ht="15" hidden="false" customHeight="false" outlineLevel="0" collapsed="false">
      <c r="A103" s="11" t="s">
        <v>148</v>
      </c>
      <c r="B103" s="11" t="s">
        <v>48</v>
      </c>
      <c r="C103" s="11" t="s">
        <v>42</v>
      </c>
      <c r="D103" s="11" t="n">
        <v>38</v>
      </c>
      <c r="E103" s="11" t="n">
        <v>11</v>
      </c>
      <c r="F103" s="12" t="n">
        <v>75100</v>
      </c>
      <c r="G103" s="11" t="n">
        <v>3</v>
      </c>
      <c r="H103" s="11" t="s">
        <v>43</v>
      </c>
      <c r="I103" s="11" t="s">
        <v>43</v>
      </c>
      <c r="J103" s="11" t="str">
        <f aca="false">IF(E103&lt;=2,"0-2 yrs",IF(E103&lt;=5,"3-5 yrs",IF(E103&lt;=10,"6-10 yrs","10+ yrs")))</f>
        <v>10+ yrs</v>
      </c>
      <c r="K103" s="11" t="str">
        <f aca="false">IF(F103&lt;35000,"Low",IF(F103&lt;70000,"Medium","High"))</f>
        <v>High</v>
      </c>
    </row>
    <row r="104" customFormat="false" ht="15" hidden="false" customHeight="false" outlineLevel="0" collapsed="false">
      <c r="A104" s="11" t="s">
        <v>149</v>
      </c>
      <c r="B104" s="11" t="s">
        <v>36</v>
      </c>
      <c r="C104" s="11" t="s">
        <v>37</v>
      </c>
      <c r="D104" s="11" t="n">
        <v>23</v>
      </c>
      <c r="E104" s="11" t="n">
        <v>3</v>
      </c>
      <c r="F104" s="12" t="n">
        <v>47700</v>
      </c>
      <c r="G104" s="11" t="n">
        <v>2</v>
      </c>
      <c r="H104" s="11" t="s">
        <v>38</v>
      </c>
      <c r="I104" s="11" t="s">
        <v>38</v>
      </c>
      <c r="J104" s="11" t="str">
        <f aca="false">IF(E104&lt;=2,"0-2 yrs",IF(E104&lt;=5,"3-5 yrs",IF(E104&lt;=10,"6-10 yrs","10+ yrs")))</f>
        <v>3-5 yrs</v>
      </c>
      <c r="K104" s="11" t="str">
        <f aca="false">IF(F104&lt;35000,"Low",IF(F104&lt;70000,"Medium","High"))</f>
        <v>Medium</v>
      </c>
    </row>
    <row r="105" customFormat="false" ht="15" hidden="false" customHeight="false" outlineLevel="0" collapsed="false">
      <c r="A105" s="11" t="s">
        <v>150</v>
      </c>
      <c r="B105" s="11" t="s">
        <v>41</v>
      </c>
      <c r="C105" s="11" t="s">
        <v>37</v>
      </c>
      <c r="D105" s="11" t="n">
        <v>23</v>
      </c>
      <c r="E105" s="11" t="n">
        <v>0</v>
      </c>
      <c r="F105" s="12" t="n">
        <v>55700</v>
      </c>
      <c r="G105" s="11" t="n">
        <v>3</v>
      </c>
      <c r="H105" s="11" t="s">
        <v>43</v>
      </c>
      <c r="I105" s="11" t="s">
        <v>38</v>
      </c>
      <c r="J105" s="11" t="str">
        <f aca="false">IF(E105&lt;=2,"0-2 yrs",IF(E105&lt;=5,"3-5 yrs",IF(E105&lt;=10,"6-10 yrs","10+ yrs")))</f>
        <v>0-2 yrs</v>
      </c>
      <c r="K105" s="11" t="str">
        <f aca="false">IF(F105&lt;35000,"Low",IF(F105&lt;70000,"Medium","High"))</f>
        <v>Medium</v>
      </c>
    </row>
    <row r="106" customFormat="false" ht="15" hidden="false" customHeight="false" outlineLevel="0" collapsed="false">
      <c r="A106" s="11" t="s">
        <v>151</v>
      </c>
      <c r="B106" s="11" t="s">
        <v>51</v>
      </c>
      <c r="C106" s="11" t="s">
        <v>37</v>
      </c>
      <c r="D106" s="11" t="n">
        <v>54</v>
      </c>
      <c r="E106" s="11" t="n">
        <v>9</v>
      </c>
      <c r="F106" s="12" t="n">
        <v>99100</v>
      </c>
      <c r="G106" s="11" t="n">
        <v>3</v>
      </c>
      <c r="H106" s="11" t="s">
        <v>38</v>
      </c>
      <c r="I106" s="11" t="s">
        <v>38</v>
      </c>
      <c r="J106" s="11" t="str">
        <f aca="false">IF(E106&lt;=2,"0-2 yrs",IF(E106&lt;=5,"3-5 yrs",IF(E106&lt;=10,"6-10 yrs","10+ yrs")))</f>
        <v>6-10 yrs</v>
      </c>
      <c r="K106" s="11" t="str">
        <f aca="false">IF(F106&lt;35000,"Low",IF(F106&lt;70000,"Medium","High"))</f>
        <v>High</v>
      </c>
    </row>
    <row r="107" customFormat="false" ht="15" hidden="false" customHeight="false" outlineLevel="0" collapsed="false">
      <c r="A107" s="11" t="s">
        <v>152</v>
      </c>
      <c r="B107" s="11" t="s">
        <v>36</v>
      </c>
      <c r="C107" s="11" t="s">
        <v>37</v>
      </c>
      <c r="D107" s="11" t="n">
        <v>22</v>
      </c>
      <c r="E107" s="11" t="n">
        <v>2</v>
      </c>
      <c r="F107" s="12" t="n">
        <v>38800</v>
      </c>
      <c r="G107" s="11" t="n">
        <v>4</v>
      </c>
      <c r="H107" s="11" t="s">
        <v>38</v>
      </c>
      <c r="I107" s="11" t="s">
        <v>43</v>
      </c>
      <c r="J107" s="11" t="str">
        <f aca="false">IF(E107&lt;=2,"0-2 yrs",IF(E107&lt;=5,"3-5 yrs",IF(E107&lt;=10,"6-10 yrs","10+ yrs")))</f>
        <v>0-2 yrs</v>
      </c>
      <c r="K107" s="11" t="str">
        <f aca="false">IF(F107&lt;35000,"Low",IF(F107&lt;70000,"Medium","High"))</f>
        <v>Medium</v>
      </c>
    </row>
    <row r="108" customFormat="false" ht="15" hidden="false" customHeight="false" outlineLevel="0" collapsed="false">
      <c r="A108" s="11" t="s">
        <v>153</v>
      </c>
      <c r="B108" s="11" t="s">
        <v>36</v>
      </c>
      <c r="C108" s="11" t="s">
        <v>42</v>
      </c>
      <c r="D108" s="11" t="n">
        <v>56</v>
      </c>
      <c r="E108" s="11" t="n">
        <v>7</v>
      </c>
      <c r="F108" s="12" t="n">
        <v>60100</v>
      </c>
      <c r="G108" s="11" t="n">
        <v>2</v>
      </c>
      <c r="H108" s="11" t="s">
        <v>43</v>
      </c>
      <c r="I108" s="11" t="s">
        <v>43</v>
      </c>
      <c r="J108" s="11" t="str">
        <f aca="false">IF(E108&lt;=2,"0-2 yrs",IF(E108&lt;=5,"3-5 yrs",IF(E108&lt;=10,"6-10 yrs","10+ yrs")))</f>
        <v>6-10 yrs</v>
      </c>
      <c r="K108" s="11" t="str">
        <f aca="false">IF(F108&lt;35000,"Low",IF(F108&lt;70000,"Medium","High"))</f>
        <v>Medium</v>
      </c>
    </row>
    <row r="109" customFormat="false" ht="15" hidden="false" customHeight="false" outlineLevel="0" collapsed="false">
      <c r="A109" s="11" t="s">
        <v>154</v>
      </c>
      <c r="B109" s="11" t="s">
        <v>36</v>
      </c>
      <c r="C109" s="11" t="s">
        <v>37</v>
      </c>
      <c r="D109" s="11" t="n">
        <v>30</v>
      </c>
      <c r="E109" s="11" t="n">
        <v>10</v>
      </c>
      <c r="F109" s="12" t="n">
        <v>58500</v>
      </c>
      <c r="G109" s="11" t="n">
        <v>3</v>
      </c>
      <c r="H109" s="11" t="s">
        <v>38</v>
      </c>
      <c r="I109" s="11" t="s">
        <v>38</v>
      </c>
      <c r="J109" s="11" t="str">
        <f aca="false">IF(E109&lt;=2,"0-2 yrs",IF(E109&lt;=5,"3-5 yrs",IF(E109&lt;=10,"6-10 yrs","10+ yrs")))</f>
        <v>6-10 yrs</v>
      </c>
      <c r="K109" s="11" t="str">
        <f aca="false">IF(F109&lt;35000,"Low",IF(F109&lt;70000,"Medium","High"))</f>
        <v>Medium</v>
      </c>
    </row>
    <row r="110" customFormat="false" ht="15" hidden="false" customHeight="false" outlineLevel="0" collapsed="false">
      <c r="A110" s="11" t="s">
        <v>155</v>
      </c>
      <c r="B110" s="11" t="s">
        <v>46</v>
      </c>
      <c r="C110" s="11" t="s">
        <v>37</v>
      </c>
      <c r="D110" s="11" t="n">
        <v>48</v>
      </c>
      <c r="E110" s="11" t="n">
        <v>11</v>
      </c>
      <c r="F110" s="12" t="n">
        <v>73400</v>
      </c>
      <c r="G110" s="11" t="n">
        <v>3</v>
      </c>
      <c r="H110" s="11" t="s">
        <v>38</v>
      </c>
      <c r="I110" s="11" t="s">
        <v>38</v>
      </c>
      <c r="J110" s="11" t="str">
        <f aca="false">IF(E110&lt;=2,"0-2 yrs",IF(E110&lt;=5,"3-5 yrs",IF(E110&lt;=10,"6-10 yrs","10+ yrs")))</f>
        <v>10+ yrs</v>
      </c>
      <c r="K110" s="11" t="str">
        <f aca="false">IF(F110&lt;35000,"Low",IF(F110&lt;70000,"Medium","High"))</f>
        <v>High</v>
      </c>
    </row>
    <row r="111" customFormat="false" ht="15" hidden="false" customHeight="false" outlineLevel="0" collapsed="false">
      <c r="A111" s="11" t="s">
        <v>156</v>
      </c>
      <c r="B111" s="11" t="s">
        <v>41</v>
      </c>
      <c r="C111" s="11" t="s">
        <v>42</v>
      </c>
      <c r="D111" s="11" t="n">
        <v>42</v>
      </c>
      <c r="E111" s="11" t="n">
        <v>8</v>
      </c>
      <c r="F111" s="12" t="n">
        <v>46100</v>
      </c>
      <c r="G111" s="11" t="n">
        <v>3</v>
      </c>
      <c r="H111" s="11" t="s">
        <v>43</v>
      </c>
      <c r="I111" s="11" t="s">
        <v>43</v>
      </c>
      <c r="J111" s="11" t="str">
        <f aca="false">IF(E111&lt;=2,"0-2 yrs",IF(E111&lt;=5,"3-5 yrs",IF(E111&lt;=10,"6-10 yrs","10+ yrs")))</f>
        <v>6-10 yrs</v>
      </c>
      <c r="K111" s="11" t="str">
        <f aca="false">IF(F111&lt;35000,"Low",IF(F111&lt;70000,"Medium","High"))</f>
        <v>Medium</v>
      </c>
    </row>
    <row r="112" customFormat="false" ht="15" hidden="false" customHeight="false" outlineLevel="0" collapsed="false">
      <c r="A112" s="11" t="s">
        <v>157</v>
      </c>
      <c r="B112" s="11" t="s">
        <v>51</v>
      </c>
      <c r="C112" s="11" t="s">
        <v>42</v>
      </c>
      <c r="D112" s="11" t="n">
        <v>36</v>
      </c>
      <c r="E112" s="11" t="n">
        <v>15</v>
      </c>
      <c r="F112" s="12" t="n">
        <v>100500</v>
      </c>
      <c r="G112" s="11" t="n">
        <v>3</v>
      </c>
      <c r="H112" s="11" t="s">
        <v>43</v>
      </c>
      <c r="I112" s="11" t="s">
        <v>38</v>
      </c>
      <c r="J112" s="11" t="str">
        <f aca="false">IF(E112&lt;=2,"0-2 yrs",IF(E112&lt;=5,"3-5 yrs",IF(E112&lt;=10,"6-10 yrs","10+ yrs")))</f>
        <v>10+ yrs</v>
      </c>
      <c r="K112" s="11" t="str">
        <f aca="false">IF(F112&lt;35000,"Low",IF(F112&lt;70000,"Medium","High"))</f>
        <v>High</v>
      </c>
    </row>
    <row r="113" customFormat="false" ht="15" hidden="false" customHeight="false" outlineLevel="0" collapsed="false">
      <c r="A113" s="11" t="s">
        <v>158</v>
      </c>
      <c r="B113" s="11" t="s">
        <v>41</v>
      </c>
      <c r="C113" s="11" t="s">
        <v>37</v>
      </c>
      <c r="D113" s="11" t="n">
        <v>24</v>
      </c>
      <c r="E113" s="11" t="n">
        <v>4</v>
      </c>
      <c r="F113" s="12" t="n">
        <v>49400</v>
      </c>
      <c r="G113" s="11" t="n">
        <v>3</v>
      </c>
      <c r="H113" s="11" t="s">
        <v>43</v>
      </c>
      <c r="I113" s="11" t="s">
        <v>43</v>
      </c>
      <c r="J113" s="11" t="str">
        <f aca="false">IF(E113&lt;=2,"0-2 yrs",IF(E113&lt;=5,"3-5 yrs",IF(E113&lt;=10,"6-10 yrs","10+ yrs")))</f>
        <v>3-5 yrs</v>
      </c>
      <c r="K113" s="11" t="str">
        <f aca="false">IF(F113&lt;35000,"Low",IF(F113&lt;70000,"Medium","High"))</f>
        <v>Medium</v>
      </c>
    </row>
    <row r="114" customFormat="false" ht="15" hidden="false" customHeight="false" outlineLevel="0" collapsed="false">
      <c r="A114" s="11" t="s">
        <v>159</v>
      </c>
      <c r="B114" s="11" t="s">
        <v>46</v>
      </c>
      <c r="C114" s="11" t="s">
        <v>37</v>
      </c>
      <c r="D114" s="11" t="n">
        <v>49</v>
      </c>
      <c r="E114" s="11" t="n">
        <v>6</v>
      </c>
      <c r="F114" s="12" t="n">
        <v>50300</v>
      </c>
      <c r="G114" s="11" t="n">
        <v>3</v>
      </c>
      <c r="H114" s="11" t="s">
        <v>38</v>
      </c>
      <c r="I114" s="11" t="s">
        <v>43</v>
      </c>
      <c r="J114" s="11" t="str">
        <f aca="false">IF(E114&lt;=2,"0-2 yrs",IF(E114&lt;=5,"3-5 yrs",IF(E114&lt;=10,"6-10 yrs","10+ yrs")))</f>
        <v>6-10 yrs</v>
      </c>
      <c r="K114" s="11" t="str">
        <f aca="false">IF(F114&lt;35000,"Low",IF(F114&lt;70000,"Medium","High"))</f>
        <v>Medium</v>
      </c>
    </row>
    <row r="115" customFormat="false" ht="15" hidden="false" customHeight="false" outlineLevel="0" collapsed="false">
      <c r="A115" s="11" t="s">
        <v>160</v>
      </c>
      <c r="B115" s="11" t="s">
        <v>51</v>
      </c>
      <c r="C115" s="11" t="s">
        <v>37</v>
      </c>
      <c r="D115" s="11" t="n">
        <v>34</v>
      </c>
      <c r="E115" s="11" t="n">
        <v>3</v>
      </c>
      <c r="F115" s="12" t="n">
        <v>67700</v>
      </c>
      <c r="G115" s="11" t="n">
        <v>4</v>
      </c>
      <c r="H115" s="11" t="s">
        <v>43</v>
      </c>
      <c r="I115" s="11" t="s">
        <v>43</v>
      </c>
      <c r="J115" s="11" t="str">
        <f aca="false">IF(E115&lt;=2,"0-2 yrs",IF(E115&lt;=5,"3-5 yrs",IF(E115&lt;=10,"6-10 yrs","10+ yrs")))</f>
        <v>3-5 yrs</v>
      </c>
      <c r="K115" s="11" t="str">
        <f aca="false">IF(F115&lt;35000,"Low",IF(F115&lt;70000,"Medium","High"))</f>
        <v>Medium</v>
      </c>
    </row>
    <row r="116" customFormat="false" ht="15" hidden="false" customHeight="false" outlineLevel="0" collapsed="false">
      <c r="A116" s="11" t="s">
        <v>161</v>
      </c>
      <c r="B116" s="11" t="s">
        <v>46</v>
      </c>
      <c r="C116" s="11" t="s">
        <v>42</v>
      </c>
      <c r="D116" s="11" t="n">
        <v>53</v>
      </c>
      <c r="E116" s="11" t="n">
        <v>6</v>
      </c>
      <c r="F116" s="12" t="n">
        <v>53200</v>
      </c>
      <c r="G116" s="11" t="n">
        <v>1</v>
      </c>
      <c r="H116" s="11" t="s">
        <v>43</v>
      </c>
      <c r="I116" s="11" t="s">
        <v>38</v>
      </c>
      <c r="J116" s="11" t="str">
        <f aca="false">IF(E116&lt;=2,"0-2 yrs",IF(E116&lt;=5,"3-5 yrs",IF(E116&lt;=10,"6-10 yrs","10+ yrs")))</f>
        <v>6-10 yrs</v>
      </c>
      <c r="K116" s="11" t="str">
        <f aca="false">IF(F116&lt;35000,"Low",IF(F116&lt;70000,"Medium","High"))</f>
        <v>Medium</v>
      </c>
    </row>
    <row r="117" customFormat="false" ht="15" hidden="false" customHeight="false" outlineLevel="0" collapsed="false">
      <c r="A117" s="11" t="s">
        <v>162</v>
      </c>
      <c r="B117" s="11" t="s">
        <v>51</v>
      </c>
      <c r="C117" s="11" t="s">
        <v>42</v>
      </c>
      <c r="D117" s="11" t="n">
        <v>28</v>
      </c>
      <c r="E117" s="11" t="n">
        <v>8</v>
      </c>
      <c r="F117" s="12" t="n">
        <v>86400</v>
      </c>
      <c r="G117" s="11" t="n">
        <v>3</v>
      </c>
      <c r="H117" s="11" t="s">
        <v>43</v>
      </c>
      <c r="I117" s="11" t="s">
        <v>38</v>
      </c>
      <c r="J117" s="11" t="str">
        <f aca="false">IF(E117&lt;=2,"0-2 yrs",IF(E117&lt;=5,"3-5 yrs",IF(E117&lt;=10,"6-10 yrs","10+ yrs")))</f>
        <v>6-10 yrs</v>
      </c>
      <c r="K117" s="11" t="str">
        <f aca="false">IF(F117&lt;35000,"Low",IF(F117&lt;70000,"Medium","High"))</f>
        <v>High</v>
      </c>
    </row>
    <row r="118" customFormat="false" ht="15" hidden="false" customHeight="false" outlineLevel="0" collapsed="false">
      <c r="A118" s="11" t="s">
        <v>163</v>
      </c>
      <c r="B118" s="11" t="s">
        <v>36</v>
      </c>
      <c r="C118" s="11" t="s">
        <v>42</v>
      </c>
      <c r="D118" s="11" t="n">
        <v>25</v>
      </c>
      <c r="E118" s="11" t="n">
        <v>5</v>
      </c>
      <c r="F118" s="12" t="n">
        <v>47900</v>
      </c>
      <c r="G118" s="11" t="n">
        <v>3</v>
      </c>
      <c r="H118" s="11" t="s">
        <v>43</v>
      </c>
      <c r="I118" s="11" t="s">
        <v>43</v>
      </c>
      <c r="J118" s="11" t="str">
        <f aca="false">IF(E118&lt;=2,"0-2 yrs",IF(E118&lt;=5,"3-5 yrs",IF(E118&lt;=10,"6-10 yrs","10+ yrs")))</f>
        <v>3-5 yrs</v>
      </c>
      <c r="K118" s="11" t="str">
        <f aca="false">IF(F118&lt;35000,"Low",IF(F118&lt;70000,"Medium","High"))</f>
        <v>Medium</v>
      </c>
    </row>
    <row r="119" customFormat="false" ht="15" hidden="false" customHeight="false" outlineLevel="0" collapsed="false">
      <c r="A119" s="11" t="s">
        <v>164</v>
      </c>
      <c r="B119" s="11" t="s">
        <v>46</v>
      </c>
      <c r="C119" s="11" t="s">
        <v>37</v>
      </c>
      <c r="D119" s="11" t="n">
        <v>50</v>
      </c>
      <c r="E119" s="11" t="n">
        <v>2</v>
      </c>
      <c r="F119" s="12" t="n">
        <v>46500</v>
      </c>
      <c r="G119" s="11" t="n">
        <v>4</v>
      </c>
      <c r="H119" s="11" t="s">
        <v>43</v>
      </c>
      <c r="I119" s="11" t="s">
        <v>43</v>
      </c>
      <c r="J119" s="11" t="str">
        <f aca="false">IF(E119&lt;=2,"0-2 yrs",IF(E119&lt;=5,"3-5 yrs",IF(E119&lt;=10,"6-10 yrs","10+ yrs")))</f>
        <v>0-2 yrs</v>
      </c>
      <c r="K119" s="11" t="str">
        <f aca="false">IF(F119&lt;35000,"Low",IF(F119&lt;70000,"Medium","High"))</f>
        <v>Medium</v>
      </c>
    </row>
    <row r="120" customFormat="false" ht="15" hidden="false" customHeight="false" outlineLevel="0" collapsed="false">
      <c r="A120" s="11" t="s">
        <v>165</v>
      </c>
      <c r="B120" s="11" t="s">
        <v>51</v>
      </c>
      <c r="C120" s="11" t="s">
        <v>37</v>
      </c>
      <c r="D120" s="11" t="n">
        <v>27</v>
      </c>
      <c r="E120" s="11" t="n">
        <v>7</v>
      </c>
      <c r="F120" s="12" t="n">
        <v>77300</v>
      </c>
      <c r="G120" s="11" t="n">
        <v>4</v>
      </c>
      <c r="H120" s="11" t="s">
        <v>38</v>
      </c>
      <c r="I120" s="11" t="s">
        <v>38</v>
      </c>
      <c r="J120" s="11" t="str">
        <f aca="false">IF(E120&lt;=2,"0-2 yrs",IF(E120&lt;=5,"3-5 yrs",IF(E120&lt;=10,"6-10 yrs","10+ yrs")))</f>
        <v>6-10 yrs</v>
      </c>
      <c r="K120" s="11" t="str">
        <f aca="false">IF(F120&lt;35000,"Low",IF(F120&lt;70000,"Medium","High"))</f>
        <v>High</v>
      </c>
    </row>
    <row r="121" customFormat="false" ht="15" hidden="false" customHeight="false" outlineLevel="0" collapsed="false">
      <c r="A121" s="11" t="s">
        <v>166</v>
      </c>
      <c r="B121" s="11" t="s">
        <v>41</v>
      </c>
      <c r="C121" s="11" t="s">
        <v>42</v>
      </c>
      <c r="D121" s="11" t="n">
        <v>42</v>
      </c>
      <c r="E121" s="11" t="n">
        <v>0</v>
      </c>
      <c r="F121" s="12" t="n">
        <v>49200</v>
      </c>
      <c r="G121" s="11" t="n">
        <v>3</v>
      </c>
      <c r="H121" s="11" t="s">
        <v>43</v>
      </c>
      <c r="I121" s="11" t="s">
        <v>43</v>
      </c>
      <c r="J121" s="11" t="str">
        <f aca="false">IF(E121&lt;=2,"0-2 yrs",IF(E121&lt;=5,"3-5 yrs",IF(E121&lt;=10,"6-10 yrs","10+ yrs")))</f>
        <v>0-2 yrs</v>
      </c>
      <c r="K121" s="11" t="str">
        <f aca="false">IF(F121&lt;35000,"Low",IF(F121&lt;70000,"Medium","High"))</f>
        <v>Medium</v>
      </c>
    </row>
    <row r="122" customFormat="false" ht="15" hidden="false" customHeight="false" outlineLevel="0" collapsed="false">
      <c r="A122" s="11" t="s">
        <v>167</v>
      </c>
      <c r="B122" s="11" t="s">
        <v>48</v>
      </c>
      <c r="C122" s="11" t="s">
        <v>37</v>
      </c>
      <c r="D122" s="11" t="n">
        <v>34</v>
      </c>
      <c r="E122" s="11" t="n">
        <v>11</v>
      </c>
      <c r="F122" s="12" t="n">
        <v>79200</v>
      </c>
      <c r="G122" s="11" t="n">
        <v>3</v>
      </c>
      <c r="H122" s="11" t="s">
        <v>43</v>
      </c>
      <c r="I122" s="11" t="s">
        <v>43</v>
      </c>
      <c r="J122" s="11" t="str">
        <f aca="false">IF(E122&lt;=2,"0-2 yrs",IF(E122&lt;=5,"3-5 yrs",IF(E122&lt;=10,"6-10 yrs","10+ yrs")))</f>
        <v>10+ yrs</v>
      </c>
      <c r="K122" s="11" t="str">
        <f aca="false">IF(F122&lt;35000,"Low",IF(F122&lt;70000,"Medium","High"))</f>
        <v>High</v>
      </c>
    </row>
    <row r="123" customFormat="false" ht="15" hidden="false" customHeight="false" outlineLevel="0" collapsed="false">
      <c r="A123" s="11" t="s">
        <v>168</v>
      </c>
      <c r="B123" s="11" t="s">
        <v>36</v>
      </c>
      <c r="C123" s="11" t="s">
        <v>42</v>
      </c>
      <c r="D123" s="11" t="n">
        <v>49</v>
      </c>
      <c r="E123" s="11" t="n">
        <v>12</v>
      </c>
      <c r="F123" s="12" t="n">
        <v>37700</v>
      </c>
      <c r="G123" s="11" t="n">
        <v>2</v>
      </c>
      <c r="H123" s="11" t="s">
        <v>43</v>
      </c>
      <c r="I123" s="11" t="s">
        <v>43</v>
      </c>
      <c r="J123" s="11" t="str">
        <f aca="false">IF(E123&lt;=2,"0-2 yrs",IF(E123&lt;=5,"3-5 yrs",IF(E123&lt;=10,"6-10 yrs","10+ yrs")))</f>
        <v>10+ yrs</v>
      </c>
      <c r="K123" s="11" t="str">
        <f aca="false">IF(F123&lt;35000,"Low",IF(F123&lt;70000,"Medium","High"))</f>
        <v>Medium</v>
      </c>
    </row>
    <row r="124" customFormat="false" ht="15" hidden="false" customHeight="false" outlineLevel="0" collapsed="false">
      <c r="A124" s="11" t="s">
        <v>169</v>
      </c>
      <c r="B124" s="11" t="s">
        <v>48</v>
      </c>
      <c r="C124" s="11" t="s">
        <v>42</v>
      </c>
      <c r="D124" s="11" t="n">
        <v>50</v>
      </c>
      <c r="E124" s="11" t="n">
        <v>7</v>
      </c>
      <c r="F124" s="12" t="n">
        <v>74700</v>
      </c>
      <c r="G124" s="11" t="n">
        <v>3</v>
      </c>
      <c r="H124" s="11" t="s">
        <v>38</v>
      </c>
      <c r="I124" s="11" t="s">
        <v>43</v>
      </c>
      <c r="J124" s="11" t="str">
        <f aca="false">IF(E124&lt;=2,"0-2 yrs",IF(E124&lt;=5,"3-5 yrs",IF(E124&lt;=10,"6-10 yrs","10+ yrs")))</f>
        <v>6-10 yrs</v>
      </c>
      <c r="K124" s="11" t="str">
        <f aca="false">IF(F124&lt;35000,"Low",IF(F124&lt;70000,"Medium","High"))</f>
        <v>High</v>
      </c>
    </row>
    <row r="125" customFormat="false" ht="15" hidden="false" customHeight="false" outlineLevel="0" collapsed="false">
      <c r="A125" s="11" t="s">
        <v>170</v>
      </c>
      <c r="B125" s="11" t="s">
        <v>46</v>
      </c>
      <c r="C125" s="11" t="s">
        <v>37</v>
      </c>
      <c r="D125" s="11" t="n">
        <v>26</v>
      </c>
      <c r="E125" s="11" t="n">
        <v>6</v>
      </c>
      <c r="F125" s="12" t="n">
        <v>52600</v>
      </c>
      <c r="G125" s="11" t="n">
        <v>2</v>
      </c>
      <c r="H125" s="11" t="s">
        <v>43</v>
      </c>
      <c r="I125" s="11" t="s">
        <v>43</v>
      </c>
      <c r="J125" s="11" t="str">
        <f aca="false">IF(E125&lt;=2,"0-2 yrs",IF(E125&lt;=5,"3-5 yrs",IF(E125&lt;=10,"6-10 yrs","10+ yrs")))</f>
        <v>6-10 yrs</v>
      </c>
      <c r="K125" s="11" t="str">
        <f aca="false">IF(F125&lt;35000,"Low",IF(F125&lt;70000,"Medium","High"))</f>
        <v>Medium</v>
      </c>
    </row>
    <row r="126" customFormat="false" ht="15" hidden="false" customHeight="false" outlineLevel="0" collapsed="false">
      <c r="A126" s="11" t="s">
        <v>171</v>
      </c>
      <c r="B126" s="11" t="s">
        <v>36</v>
      </c>
      <c r="C126" s="11" t="s">
        <v>37</v>
      </c>
      <c r="D126" s="11" t="n">
        <v>51</v>
      </c>
      <c r="E126" s="11" t="n">
        <v>15</v>
      </c>
      <c r="F126" s="12" t="n">
        <v>80000</v>
      </c>
      <c r="G126" s="11" t="n">
        <v>1</v>
      </c>
      <c r="H126" s="11" t="s">
        <v>43</v>
      </c>
      <c r="I126" s="11" t="s">
        <v>38</v>
      </c>
      <c r="J126" s="11" t="str">
        <f aca="false">IF(E126&lt;=2,"0-2 yrs",IF(E126&lt;=5,"3-5 yrs",IF(E126&lt;=10,"6-10 yrs","10+ yrs")))</f>
        <v>10+ yrs</v>
      </c>
      <c r="K126" s="11" t="str">
        <f aca="false">IF(F126&lt;35000,"Low",IF(F126&lt;70000,"Medium","High"))</f>
        <v>High</v>
      </c>
    </row>
    <row r="127" customFormat="false" ht="15" hidden="false" customHeight="false" outlineLevel="0" collapsed="false">
      <c r="A127" s="11" t="s">
        <v>172</v>
      </c>
      <c r="B127" s="11" t="s">
        <v>46</v>
      </c>
      <c r="C127" s="11" t="s">
        <v>37</v>
      </c>
      <c r="D127" s="11" t="n">
        <v>56</v>
      </c>
      <c r="E127" s="11" t="n">
        <v>1</v>
      </c>
      <c r="F127" s="12" t="n">
        <v>49000</v>
      </c>
      <c r="G127" s="11" t="n">
        <v>2</v>
      </c>
      <c r="H127" s="11" t="s">
        <v>43</v>
      </c>
      <c r="I127" s="11" t="s">
        <v>43</v>
      </c>
      <c r="J127" s="11" t="str">
        <f aca="false">IF(E127&lt;=2,"0-2 yrs",IF(E127&lt;=5,"3-5 yrs",IF(E127&lt;=10,"6-10 yrs","10+ yrs")))</f>
        <v>0-2 yrs</v>
      </c>
      <c r="K127" s="11" t="str">
        <f aca="false">IF(F127&lt;35000,"Low",IF(F127&lt;70000,"Medium","High"))</f>
        <v>Medium</v>
      </c>
    </row>
    <row r="128" customFormat="false" ht="15" hidden="false" customHeight="false" outlineLevel="0" collapsed="false">
      <c r="A128" s="11" t="s">
        <v>173</v>
      </c>
      <c r="B128" s="11" t="s">
        <v>36</v>
      </c>
      <c r="C128" s="11" t="s">
        <v>37</v>
      </c>
      <c r="D128" s="11" t="n">
        <v>54</v>
      </c>
      <c r="E128" s="11" t="n">
        <v>3</v>
      </c>
      <c r="F128" s="12" t="n">
        <v>52900</v>
      </c>
      <c r="G128" s="11" t="n">
        <v>4</v>
      </c>
      <c r="H128" s="11" t="s">
        <v>43</v>
      </c>
      <c r="I128" s="11" t="s">
        <v>43</v>
      </c>
      <c r="J128" s="11" t="str">
        <f aca="false">IF(E128&lt;=2,"0-2 yrs",IF(E128&lt;=5,"3-5 yrs",IF(E128&lt;=10,"6-10 yrs","10+ yrs")))</f>
        <v>3-5 yrs</v>
      </c>
      <c r="K128" s="11" t="str">
        <f aca="false">IF(F128&lt;35000,"Low",IF(F128&lt;70000,"Medium","High"))</f>
        <v>Medium</v>
      </c>
    </row>
    <row r="129" customFormat="false" ht="15" hidden="false" customHeight="false" outlineLevel="0" collapsed="false">
      <c r="A129" s="11" t="s">
        <v>174</v>
      </c>
      <c r="B129" s="11" t="s">
        <v>41</v>
      </c>
      <c r="C129" s="11" t="s">
        <v>37</v>
      </c>
      <c r="D129" s="11" t="n">
        <v>48</v>
      </c>
      <c r="E129" s="11" t="n">
        <v>6</v>
      </c>
      <c r="F129" s="12" t="n">
        <v>61400</v>
      </c>
      <c r="G129" s="11" t="n">
        <v>1</v>
      </c>
      <c r="H129" s="11" t="s">
        <v>43</v>
      </c>
      <c r="I129" s="11" t="s">
        <v>38</v>
      </c>
      <c r="J129" s="11" t="str">
        <f aca="false">IF(E129&lt;=2,"0-2 yrs",IF(E129&lt;=5,"3-5 yrs",IF(E129&lt;=10,"6-10 yrs","10+ yrs")))</f>
        <v>6-10 yrs</v>
      </c>
      <c r="K129" s="11" t="str">
        <f aca="false">IF(F129&lt;35000,"Low",IF(F129&lt;70000,"Medium","High"))</f>
        <v>Medium</v>
      </c>
    </row>
    <row r="130" customFormat="false" ht="15" hidden="false" customHeight="false" outlineLevel="0" collapsed="false">
      <c r="A130" s="11" t="s">
        <v>175</v>
      </c>
      <c r="B130" s="11" t="s">
        <v>41</v>
      </c>
      <c r="C130" s="11" t="s">
        <v>37</v>
      </c>
      <c r="D130" s="11" t="n">
        <v>22</v>
      </c>
      <c r="E130" s="11" t="n">
        <v>2</v>
      </c>
      <c r="F130" s="12" t="n">
        <v>53100</v>
      </c>
      <c r="G130" s="11" t="n">
        <v>3</v>
      </c>
      <c r="H130" s="11" t="s">
        <v>38</v>
      </c>
      <c r="I130" s="11" t="s">
        <v>38</v>
      </c>
      <c r="J130" s="11" t="str">
        <f aca="false">IF(E130&lt;=2,"0-2 yrs",IF(E130&lt;=5,"3-5 yrs",IF(E130&lt;=10,"6-10 yrs","10+ yrs")))</f>
        <v>0-2 yrs</v>
      </c>
      <c r="K130" s="11" t="str">
        <f aca="false">IF(F130&lt;35000,"Low",IF(F130&lt;70000,"Medium","High"))</f>
        <v>Medium</v>
      </c>
    </row>
    <row r="131" customFormat="false" ht="15" hidden="false" customHeight="false" outlineLevel="0" collapsed="false">
      <c r="A131" s="11" t="s">
        <v>176</v>
      </c>
      <c r="B131" s="11" t="s">
        <v>48</v>
      </c>
      <c r="C131" s="11" t="s">
        <v>37</v>
      </c>
      <c r="D131" s="11" t="n">
        <v>41</v>
      </c>
      <c r="E131" s="11" t="n">
        <v>8</v>
      </c>
      <c r="F131" s="12" t="n">
        <v>79800</v>
      </c>
      <c r="G131" s="11" t="n">
        <v>4</v>
      </c>
      <c r="H131" s="11" t="s">
        <v>38</v>
      </c>
      <c r="I131" s="11" t="s">
        <v>38</v>
      </c>
      <c r="J131" s="11" t="str">
        <f aca="false">IF(E131&lt;=2,"0-2 yrs",IF(E131&lt;=5,"3-5 yrs",IF(E131&lt;=10,"6-10 yrs","10+ yrs")))</f>
        <v>6-10 yrs</v>
      </c>
      <c r="K131" s="11" t="str">
        <f aca="false">IF(F131&lt;35000,"Low",IF(F131&lt;70000,"Medium","High"))</f>
        <v>High</v>
      </c>
    </row>
    <row r="132" customFormat="false" ht="15" hidden="false" customHeight="false" outlineLevel="0" collapsed="false">
      <c r="A132" s="11" t="s">
        <v>177</v>
      </c>
      <c r="B132" s="11" t="s">
        <v>36</v>
      </c>
      <c r="C132" s="11" t="s">
        <v>37</v>
      </c>
      <c r="D132" s="11" t="n">
        <v>53</v>
      </c>
      <c r="E132" s="11" t="n">
        <v>6</v>
      </c>
      <c r="F132" s="12" t="n">
        <v>55900</v>
      </c>
      <c r="G132" s="11" t="n">
        <v>3</v>
      </c>
      <c r="H132" s="11" t="s">
        <v>43</v>
      </c>
      <c r="I132" s="11" t="s">
        <v>43</v>
      </c>
      <c r="J132" s="11" t="str">
        <f aca="false">IF(E132&lt;=2,"0-2 yrs",IF(E132&lt;=5,"3-5 yrs",IF(E132&lt;=10,"6-10 yrs","10+ yrs")))</f>
        <v>6-10 yrs</v>
      </c>
      <c r="K132" s="11" t="str">
        <f aca="false">IF(F132&lt;35000,"Low",IF(F132&lt;70000,"Medium","High"))</f>
        <v>Medium</v>
      </c>
    </row>
    <row r="133" customFormat="false" ht="15" hidden="false" customHeight="false" outlineLevel="0" collapsed="false">
      <c r="A133" s="11" t="s">
        <v>178</v>
      </c>
      <c r="B133" s="11" t="s">
        <v>36</v>
      </c>
      <c r="C133" s="11" t="s">
        <v>42</v>
      </c>
      <c r="D133" s="11" t="n">
        <v>45</v>
      </c>
      <c r="E133" s="11" t="n">
        <v>12</v>
      </c>
      <c r="F133" s="12" t="n">
        <v>62500</v>
      </c>
      <c r="G133" s="11" t="n">
        <v>2</v>
      </c>
      <c r="H133" s="11" t="s">
        <v>43</v>
      </c>
      <c r="I133" s="11" t="s">
        <v>43</v>
      </c>
      <c r="J133" s="11" t="str">
        <f aca="false">IF(E133&lt;=2,"0-2 yrs",IF(E133&lt;=5,"3-5 yrs",IF(E133&lt;=10,"6-10 yrs","10+ yrs")))</f>
        <v>10+ yrs</v>
      </c>
      <c r="K133" s="11" t="str">
        <f aca="false">IF(F133&lt;35000,"Low",IF(F133&lt;70000,"Medium","High"))</f>
        <v>Medium</v>
      </c>
    </row>
    <row r="134" customFormat="false" ht="15" hidden="false" customHeight="false" outlineLevel="0" collapsed="false">
      <c r="A134" s="11" t="s">
        <v>179</v>
      </c>
      <c r="B134" s="11" t="s">
        <v>54</v>
      </c>
      <c r="C134" s="11" t="s">
        <v>37</v>
      </c>
      <c r="D134" s="11" t="n">
        <v>46</v>
      </c>
      <c r="E134" s="11" t="n">
        <v>2</v>
      </c>
      <c r="F134" s="12" t="n">
        <v>33400</v>
      </c>
      <c r="G134" s="11" t="n">
        <v>2</v>
      </c>
      <c r="H134" s="11" t="s">
        <v>43</v>
      </c>
      <c r="I134" s="11" t="s">
        <v>38</v>
      </c>
      <c r="J134" s="11" t="str">
        <f aca="false">IF(E134&lt;=2,"0-2 yrs",IF(E134&lt;=5,"3-5 yrs",IF(E134&lt;=10,"6-10 yrs","10+ yrs")))</f>
        <v>0-2 yrs</v>
      </c>
      <c r="K134" s="11" t="str">
        <f aca="false">IF(F134&lt;35000,"Low",IF(F134&lt;70000,"Medium","High"))</f>
        <v>Low</v>
      </c>
    </row>
    <row r="135" customFormat="false" ht="15" hidden="false" customHeight="false" outlineLevel="0" collapsed="false">
      <c r="A135" s="11" t="s">
        <v>180</v>
      </c>
      <c r="B135" s="11" t="s">
        <v>51</v>
      </c>
      <c r="C135" s="11" t="s">
        <v>37</v>
      </c>
      <c r="D135" s="11" t="n">
        <v>40</v>
      </c>
      <c r="E135" s="11" t="n">
        <v>4</v>
      </c>
      <c r="F135" s="12" t="n">
        <v>80300</v>
      </c>
      <c r="G135" s="11" t="n">
        <v>3</v>
      </c>
      <c r="H135" s="11" t="s">
        <v>38</v>
      </c>
      <c r="I135" s="11" t="s">
        <v>38</v>
      </c>
      <c r="J135" s="11" t="str">
        <f aca="false">IF(E135&lt;=2,"0-2 yrs",IF(E135&lt;=5,"3-5 yrs",IF(E135&lt;=10,"6-10 yrs","10+ yrs")))</f>
        <v>3-5 yrs</v>
      </c>
      <c r="K135" s="11" t="str">
        <f aca="false">IF(F135&lt;35000,"Low",IF(F135&lt;70000,"Medium","High"))</f>
        <v>High</v>
      </c>
    </row>
    <row r="136" customFormat="false" ht="15" hidden="false" customHeight="false" outlineLevel="0" collapsed="false">
      <c r="A136" s="11" t="s">
        <v>181</v>
      </c>
      <c r="B136" s="11" t="s">
        <v>48</v>
      </c>
      <c r="C136" s="11" t="s">
        <v>37</v>
      </c>
      <c r="D136" s="11" t="n">
        <v>30</v>
      </c>
      <c r="E136" s="11" t="n">
        <v>10</v>
      </c>
      <c r="F136" s="12" t="n">
        <v>66900</v>
      </c>
      <c r="G136" s="11" t="n">
        <v>3</v>
      </c>
      <c r="H136" s="11" t="s">
        <v>43</v>
      </c>
      <c r="I136" s="11" t="s">
        <v>38</v>
      </c>
      <c r="J136" s="11" t="str">
        <f aca="false">IF(E136&lt;=2,"0-2 yrs",IF(E136&lt;=5,"3-5 yrs",IF(E136&lt;=10,"6-10 yrs","10+ yrs")))</f>
        <v>6-10 yrs</v>
      </c>
      <c r="K136" s="11" t="str">
        <f aca="false">IF(F136&lt;35000,"Low",IF(F136&lt;70000,"Medium","High"))</f>
        <v>Medium</v>
      </c>
    </row>
    <row r="137" customFormat="false" ht="15" hidden="false" customHeight="false" outlineLevel="0" collapsed="false">
      <c r="A137" s="11" t="s">
        <v>182</v>
      </c>
      <c r="B137" s="11" t="s">
        <v>54</v>
      </c>
      <c r="C137" s="11" t="s">
        <v>42</v>
      </c>
      <c r="D137" s="11" t="n">
        <v>44</v>
      </c>
      <c r="E137" s="11" t="n">
        <v>11</v>
      </c>
      <c r="F137" s="12" t="n">
        <v>57300</v>
      </c>
      <c r="G137" s="11" t="n">
        <v>3</v>
      </c>
      <c r="H137" s="11" t="s">
        <v>38</v>
      </c>
      <c r="I137" s="11" t="s">
        <v>43</v>
      </c>
      <c r="J137" s="11" t="str">
        <f aca="false">IF(E137&lt;=2,"0-2 yrs",IF(E137&lt;=5,"3-5 yrs",IF(E137&lt;=10,"6-10 yrs","10+ yrs")))</f>
        <v>10+ yrs</v>
      </c>
      <c r="K137" s="11" t="str">
        <f aca="false">IF(F137&lt;35000,"Low",IF(F137&lt;70000,"Medium","High"))</f>
        <v>Medium</v>
      </c>
    </row>
    <row r="138" customFormat="false" ht="15" hidden="false" customHeight="false" outlineLevel="0" collapsed="false">
      <c r="A138" s="11" t="s">
        <v>183</v>
      </c>
      <c r="B138" s="11" t="s">
        <v>46</v>
      </c>
      <c r="C138" s="11" t="s">
        <v>37</v>
      </c>
      <c r="D138" s="11" t="n">
        <v>32</v>
      </c>
      <c r="E138" s="11" t="n">
        <v>11</v>
      </c>
      <c r="F138" s="12" t="n">
        <v>93500</v>
      </c>
      <c r="G138" s="11" t="n">
        <v>3</v>
      </c>
      <c r="H138" s="11" t="s">
        <v>38</v>
      </c>
      <c r="I138" s="11" t="s">
        <v>43</v>
      </c>
      <c r="J138" s="11" t="str">
        <f aca="false">IF(E138&lt;=2,"0-2 yrs",IF(E138&lt;=5,"3-5 yrs",IF(E138&lt;=10,"6-10 yrs","10+ yrs")))</f>
        <v>10+ yrs</v>
      </c>
      <c r="K138" s="11" t="str">
        <f aca="false">IF(F138&lt;35000,"Low",IF(F138&lt;70000,"Medium","High"))</f>
        <v>High</v>
      </c>
    </row>
    <row r="139" customFormat="false" ht="15" hidden="false" customHeight="false" outlineLevel="0" collapsed="false">
      <c r="A139" s="11" t="s">
        <v>184</v>
      </c>
      <c r="B139" s="11" t="s">
        <v>54</v>
      </c>
      <c r="C139" s="11" t="s">
        <v>37</v>
      </c>
      <c r="D139" s="11" t="n">
        <v>37</v>
      </c>
      <c r="E139" s="11" t="n">
        <v>0</v>
      </c>
      <c r="F139" s="12" t="n">
        <v>53100</v>
      </c>
      <c r="G139" s="11" t="n">
        <v>3</v>
      </c>
      <c r="H139" s="11" t="s">
        <v>43</v>
      </c>
      <c r="I139" s="11" t="s">
        <v>43</v>
      </c>
      <c r="J139" s="11" t="str">
        <f aca="false">IF(E139&lt;=2,"0-2 yrs",IF(E139&lt;=5,"3-5 yrs",IF(E139&lt;=10,"6-10 yrs","10+ yrs")))</f>
        <v>0-2 yrs</v>
      </c>
      <c r="K139" s="11" t="str">
        <f aca="false">IF(F139&lt;35000,"Low",IF(F139&lt;70000,"Medium","High"))</f>
        <v>Medium</v>
      </c>
    </row>
    <row r="140" customFormat="false" ht="15" hidden="false" customHeight="false" outlineLevel="0" collapsed="false">
      <c r="A140" s="11" t="s">
        <v>185</v>
      </c>
      <c r="B140" s="11" t="s">
        <v>41</v>
      </c>
      <c r="C140" s="11" t="s">
        <v>42</v>
      </c>
      <c r="D140" s="11" t="n">
        <v>30</v>
      </c>
      <c r="E140" s="11" t="n">
        <v>10</v>
      </c>
      <c r="F140" s="12" t="n">
        <v>62900</v>
      </c>
      <c r="G140" s="11" t="n">
        <v>4</v>
      </c>
      <c r="H140" s="11" t="s">
        <v>43</v>
      </c>
      <c r="I140" s="11" t="s">
        <v>43</v>
      </c>
      <c r="J140" s="11" t="str">
        <f aca="false">IF(E140&lt;=2,"0-2 yrs",IF(E140&lt;=5,"3-5 yrs",IF(E140&lt;=10,"6-10 yrs","10+ yrs")))</f>
        <v>6-10 yrs</v>
      </c>
      <c r="K140" s="11" t="str">
        <f aca="false">IF(F140&lt;35000,"Low",IF(F140&lt;70000,"Medium","High"))</f>
        <v>Medium</v>
      </c>
    </row>
    <row r="141" customFormat="false" ht="15" hidden="false" customHeight="false" outlineLevel="0" collapsed="false">
      <c r="A141" s="11" t="s">
        <v>186</v>
      </c>
      <c r="B141" s="11" t="s">
        <v>46</v>
      </c>
      <c r="C141" s="11" t="s">
        <v>37</v>
      </c>
      <c r="D141" s="11" t="n">
        <v>31</v>
      </c>
      <c r="E141" s="11" t="n">
        <v>2</v>
      </c>
      <c r="F141" s="12" t="n">
        <v>38300</v>
      </c>
      <c r="G141" s="11" t="n">
        <v>1</v>
      </c>
      <c r="H141" s="11" t="s">
        <v>43</v>
      </c>
      <c r="I141" s="11" t="s">
        <v>38</v>
      </c>
      <c r="J141" s="11" t="str">
        <f aca="false">IF(E141&lt;=2,"0-2 yrs",IF(E141&lt;=5,"3-5 yrs",IF(E141&lt;=10,"6-10 yrs","10+ yrs")))</f>
        <v>0-2 yrs</v>
      </c>
      <c r="K141" s="11" t="str">
        <f aca="false">IF(F141&lt;35000,"Low",IF(F141&lt;70000,"Medium","High"))</f>
        <v>Medium</v>
      </c>
    </row>
    <row r="142" customFormat="false" ht="15" hidden="false" customHeight="false" outlineLevel="0" collapsed="false">
      <c r="A142" s="11" t="s">
        <v>187</v>
      </c>
      <c r="B142" s="11" t="s">
        <v>41</v>
      </c>
      <c r="C142" s="11" t="s">
        <v>37</v>
      </c>
      <c r="D142" s="11" t="n">
        <v>35</v>
      </c>
      <c r="E142" s="11" t="n">
        <v>8</v>
      </c>
      <c r="F142" s="12" t="n">
        <v>70200</v>
      </c>
      <c r="G142" s="11" t="n">
        <v>2</v>
      </c>
      <c r="H142" s="11" t="s">
        <v>38</v>
      </c>
      <c r="I142" s="11" t="s">
        <v>43</v>
      </c>
      <c r="J142" s="11" t="str">
        <f aca="false">IF(E142&lt;=2,"0-2 yrs",IF(E142&lt;=5,"3-5 yrs",IF(E142&lt;=10,"6-10 yrs","10+ yrs")))</f>
        <v>6-10 yrs</v>
      </c>
      <c r="K142" s="11" t="str">
        <f aca="false">IF(F142&lt;35000,"Low",IF(F142&lt;70000,"Medium","High"))</f>
        <v>High</v>
      </c>
    </row>
    <row r="143" customFormat="false" ht="15" hidden="false" customHeight="false" outlineLevel="0" collapsed="false">
      <c r="A143" s="11" t="s">
        <v>188</v>
      </c>
      <c r="B143" s="11" t="s">
        <v>48</v>
      </c>
      <c r="C143" s="11" t="s">
        <v>37</v>
      </c>
      <c r="D143" s="11" t="n">
        <v>41</v>
      </c>
      <c r="E143" s="11" t="n">
        <v>1</v>
      </c>
      <c r="F143" s="12" t="n">
        <v>65600</v>
      </c>
      <c r="G143" s="11" t="n">
        <v>4</v>
      </c>
      <c r="H143" s="11" t="s">
        <v>38</v>
      </c>
      <c r="I143" s="11" t="s">
        <v>43</v>
      </c>
      <c r="J143" s="11" t="str">
        <f aca="false">IF(E143&lt;=2,"0-2 yrs",IF(E143&lt;=5,"3-5 yrs",IF(E143&lt;=10,"6-10 yrs","10+ yrs")))</f>
        <v>0-2 yrs</v>
      </c>
      <c r="K143" s="11" t="str">
        <f aca="false">IF(F143&lt;35000,"Low",IF(F143&lt;70000,"Medium","High"))</f>
        <v>Medium</v>
      </c>
    </row>
    <row r="144" customFormat="false" ht="15" hidden="false" customHeight="false" outlineLevel="0" collapsed="false">
      <c r="A144" s="11" t="s">
        <v>189</v>
      </c>
      <c r="B144" s="11" t="s">
        <v>46</v>
      </c>
      <c r="C144" s="11" t="s">
        <v>37</v>
      </c>
      <c r="D144" s="11" t="n">
        <v>55</v>
      </c>
      <c r="E144" s="11" t="n">
        <v>13</v>
      </c>
      <c r="F144" s="12" t="n">
        <v>80100</v>
      </c>
      <c r="G144" s="11" t="n">
        <v>2</v>
      </c>
      <c r="H144" s="11" t="s">
        <v>43</v>
      </c>
      <c r="I144" s="11" t="s">
        <v>43</v>
      </c>
      <c r="J144" s="11" t="str">
        <f aca="false">IF(E144&lt;=2,"0-2 yrs",IF(E144&lt;=5,"3-5 yrs",IF(E144&lt;=10,"6-10 yrs","10+ yrs")))</f>
        <v>10+ yrs</v>
      </c>
      <c r="K144" s="11" t="str">
        <f aca="false">IF(F144&lt;35000,"Low",IF(F144&lt;70000,"Medium","High"))</f>
        <v>High</v>
      </c>
    </row>
    <row r="145" customFormat="false" ht="15" hidden="false" customHeight="false" outlineLevel="0" collapsed="false">
      <c r="A145" s="11" t="s">
        <v>190</v>
      </c>
      <c r="B145" s="11" t="s">
        <v>48</v>
      </c>
      <c r="C145" s="11" t="s">
        <v>37</v>
      </c>
      <c r="D145" s="11" t="n">
        <v>38</v>
      </c>
      <c r="E145" s="11" t="n">
        <v>2</v>
      </c>
      <c r="F145" s="12" t="n">
        <v>50100</v>
      </c>
      <c r="G145" s="11" t="n">
        <v>3</v>
      </c>
      <c r="H145" s="11" t="s">
        <v>38</v>
      </c>
      <c r="I145" s="11" t="s">
        <v>38</v>
      </c>
      <c r="J145" s="11" t="str">
        <f aca="false">IF(E145&lt;=2,"0-2 yrs",IF(E145&lt;=5,"3-5 yrs",IF(E145&lt;=10,"6-10 yrs","10+ yrs")))</f>
        <v>0-2 yrs</v>
      </c>
      <c r="K145" s="11" t="str">
        <f aca="false">IF(F145&lt;35000,"Low",IF(F145&lt;70000,"Medium","High"))</f>
        <v>Medium</v>
      </c>
    </row>
    <row r="146" customFormat="false" ht="15" hidden="false" customHeight="false" outlineLevel="0" collapsed="false">
      <c r="A146" s="11" t="s">
        <v>191</v>
      </c>
      <c r="B146" s="11" t="s">
        <v>36</v>
      </c>
      <c r="C146" s="11" t="s">
        <v>37</v>
      </c>
      <c r="D146" s="11" t="n">
        <v>49</v>
      </c>
      <c r="E146" s="11" t="n">
        <v>9</v>
      </c>
      <c r="F146" s="12" t="n">
        <v>59700</v>
      </c>
      <c r="G146" s="11" t="n">
        <v>1</v>
      </c>
      <c r="H146" s="11" t="s">
        <v>43</v>
      </c>
      <c r="I146" s="11" t="s">
        <v>43</v>
      </c>
      <c r="J146" s="11" t="str">
        <f aca="false">IF(E146&lt;=2,"0-2 yrs",IF(E146&lt;=5,"3-5 yrs",IF(E146&lt;=10,"6-10 yrs","10+ yrs")))</f>
        <v>6-10 yrs</v>
      </c>
      <c r="K146" s="11" t="str">
        <f aca="false">IF(F146&lt;35000,"Low",IF(F146&lt;70000,"Medium","High"))</f>
        <v>Medium</v>
      </c>
    </row>
    <row r="147" customFormat="false" ht="15" hidden="false" customHeight="false" outlineLevel="0" collapsed="false">
      <c r="A147" s="11" t="s">
        <v>192</v>
      </c>
      <c r="B147" s="11" t="s">
        <v>41</v>
      </c>
      <c r="C147" s="11" t="s">
        <v>42</v>
      </c>
      <c r="D147" s="11" t="n">
        <v>31</v>
      </c>
      <c r="E147" s="11" t="n">
        <v>0</v>
      </c>
      <c r="F147" s="12" t="n">
        <v>37200</v>
      </c>
      <c r="G147" s="11" t="n">
        <v>4</v>
      </c>
      <c r="H147" s="11" t="s">
        <v>43</v>
      </c>
      <c r="I147" s="11" t="s">
        <v>43</v>
      </c>
      <c r="J147" s="11" t="str">
        <f aca="false">IF(E147&lt;=2,"0-2 yrs",IF(E147&lt;=5,"3-5 yrs",IF(E147&lt;=10,"6-10 yrs","10+ yrs")))</f>
        <v>0-2 yrs</v>
      </c>
      <c r="K147" s="11" t="str">
        <f aca="false">IF(F147&lt;35000,"Low",IF(F147&lt;70000,"Medium","High"))</f>
        <v>Medium</v>
      </c>
    </row>
    <row r="148" customFormat="false" ht="15" hidden="false" customHeight="false" outlineLevel="0" collapsed="false">
      <c r="A148" s="11" t="s">
        <v>193</v>
      </c>
      <c r="B148" s="11" t="s">
        <v>51</v>
      </c>
      <c r="C148" s="11" t="s">
        <v>42</v>
      </c>
      <c r="D148" s="11" t="n">
        <v>39</v>
      </c>
      <c r="E148" s="11" t="n">
        <v>3</v>
      </c>
      <c r="F148" s="12" t="n">
        <v>74200</v>
      </c>
      <c r="G148" s="11" t="n">
        <v>2</v>
      </c>
      <c r="H148" s="11" t="s">
        <v>38</v>
      </c>
      <c r="I148" s="11" t="s">
        <v>43</v>
      </c>
      <c r="J148" s="11" t="str">
        <f aca="false">IF(E148&lt;=2,"0-2 yrs",IF(E148&lt;=5,"3-5 yrs",IF(E148&lt;=10,"6-10 yrs","10+ yrs")))</f>
        <v>3-5 yrs</v>
      </c>
      <c r="K148" s="11" t="str">
        <f aca="false">IF(F148&lt;35000,"Low",IF(F148&lt;70000,"Medium","High"))</f>
        <v>High</v>
      </c>
    </row>
    <row r="149" customFormat="false" ht="15" hidden="false" customHeight="false" outlineLevel="0" collapsed="false">
      <c r="A149" s="11" t="s">
        <v>194</v>
      </c>
      <c r="B149" s="11" t="s">
        <v>46</v>
      </c>
      <c r="C149" s="11" t="s">
        <v>37</v>
      </c>
      <c r="D149" s="11" t="n">
        <v>42</v>
      </c>
      <c r="E149" s="11" t="n">
        <v>15</v>
      </c>
      <c r="F149" s="12" t="n">
        <v>79100</v>
      </c>
      <c r="G149" s="11" t="n">
        <v>2</v>
      </c>
      <c r="H149" s="11" t="s">
        <v>43</v>
      </c>
      <c r="I149" s="11" t="s">
        <v>43</v>
      </c>
      <c r="J149" s="11" t="str">
        <f aca="false">IF(E149&lt;=2,"0-2 yrs",IF(E149&lt;=5,"3-5 yrs",IF(E149&lt;=10,"6-10 yrs","10+ yrs")))</f>
        <v>10+ yrs</v>
      </c>
      <c r="K149" s="11" t="str">
        <f aca="false">IF(F149&lt;35000,"Low",IF(F149&lt;70000,"Medium","High"))</f>
        <v>High</v>
      </c>
    </row>
    <row r="150" customFormat="false" ht="15" hidden="false" customHeight="false" outlineLevel="0" collapsed="false">
      <c r="A150" s="11" t="s">
        <v>195</v>
      </c>
      <c r="B150" s="11" t="s">
        <v>46</v>
      </c>
      <c r="C150" s="11" t="s">
        <v>42</v>
      </c>
      <c r="D150" s="11" t="n">
        <v>25</v>
      </c>
      <c r="E150" s="11" t="n">
        <v>5</v>
      </c>
      <c r="F150" s="12" t="n">
        <v>51800</v>
      </c>
      <c r="G150" s="11" t="n">
        <v>1</v>
      </c>
      <c r="H150" s="11" t="s">
        <v>43</v>
      </c>
      <c r="I150" s="11" t="s">
        <v>43</v>
      </c>
      <c r="J150" s="11" t="str">
        <f aca="false">IF(E150&lt;=2,"0-2 yrs",IF(E150&lt;=5,"3-5 yrs",IF(E150&lt;=10,"6-10 yrs","10+ yrs")))</f>
        <v>3-5 yrs</v>
      </c>
      <c r="K150" s="11" t="str">
        <f aca="false">IF(F150&lt;35000,"Low",IF(F150&lt;70000,"Medium","High"))</f>
        <v>Medium</v>
      </c>
    </row>
    <row r="151" customFormat="false" ht="15" hidden="false" customHeight="false" outlineLevel="0" collapsed="false">
      <c r="A151" s="11" t="s">
        <v>196</v>
      </c>
      <c r="B151" s="11" t="s">
        <v>48</v>
      </c>
      <c r="C151" s="11" t="s">
        <v>37</v>
      </c>
      <c r="D151" s="11" t="n">
        <v>23</v>
      </c>
      <c r="E151" s="11" t="n">
        <v>3</v>
      </c>
      <c r="F151" s="12" t="n">
        <v>71700</v>
      </c>
      <c r="G151" s="11" t="n">
        <v>1</v>
      </c>
      <c r="H151" s="11" t="s">
        <v>43</v>
      </c>
      <c r="I151" s="11" t="s">
        <v>43</v>
      </c>
      <c r="J151" s="11" t="str">
        <f aca="false">IF(E151&lt;=2,"0-2 yrs",IF(E151&lt;=5,"3-5 yrs",IF(E151&lt;=10,"6-10 yrs","10+ yrs")))</f>
        <v>3-5 yrs</v>
      </c>
      <c r="K151" s="11" t="str">
        <f aca="false">IF(F151&lt;35000,"Low",IF(F151&lt;70000,"Medium","High"))</f>
        <v>High</v>
      </c>
    </row>
    <row r="152" customFormat="false" ht="15" hidden="false" customHeight="false" outlineLevel="0" collapsed="false">
      <c r="A152" s="11" t="s">
        <v>197</v>
      </c>
      <c r="B152" s="11" t="s">
        <v>46</v>
      </c>
      <c r="C152" s="11" t="s">
        <v>42</v>
      </c>
      <c r="D152" s="11" t="n">
        <v>33</v>
      </c>
      <c r="E152" s="11" t="n">
        <v>12</v>
      </c>
      <c r="F152" s="12" t="n">
        <v>73300</v>
      </c>
      <c r="G152" s="11" t="n">
        <v>3</v>
      </c>
      <c r="H152" s="11" t="s">
        <v>43</v>
      </c>
      <c r="I152" s="11" t="s">
        <v>38</v>
      </c>
      <c r="J152" s="11" t="str">
        <f aca="false">IF(E152&lt;=2,"0-2 yrs",IF(E152&lt;=5,"3-5 yrs",IF(E152&lt;=10,"6-10 yrs","10+ yrs")))</f>
        <v>10+ yrs</v>
      </c>
      <c r="K152" s="11" t="str">
        <f aca="false">IF(F152&lt;35000,"Low",IF(F152&lt;70000,"Medium","High"))</f>
        <v>High</v>
      </c>
    </row>
    <row r="153" customFormat="false" ht="15" hidden="false" customHeight="false" outlineLevel="0" collapsed="false">
      <c r="A153" s="11" t="s">
        <v>198</v>
      </c>
      <c r="B153" s="11" t="s">
        <v>36</v>
      </c>
      <c r="C153" s="11" t="s">
        <v>42</v>
      </c>
      <c r="D153" s="11" t="n">
        <v>27</v>
      </c>
      <c r="E153" s="11" t="n">
        <v>2</v>
      </c>
      <c r="F153" s="12" t="n">
        <v>49800</v>
      </c>
      <c r="G153" s="11" t="n">
        <v>4</v>
      </c>
      <c r="H153" s="11" t="s">
        <v>43</v>
      </c>
      <c r="I153" s="11" t="s">
        <v>43</v>
      </c>
      <c r="J153" s="11" t="str">
        <f aca="false">IF(E153&lt;=2,"0-2 yrs",IF(E153&lt;=5,"3-5 yrs",IF(E153&lt;=10,"6-10 yrs","10+ yrs")))</f>
        <v>0-2 yrs</v>
      </c>
      <c r="K153" s="11" t="str">
        <f aca="false">IF(F153&lt;35000,"Low",IF(F153&lt;70000,"Medium","High"))</f>
        <v>Medium</v>
      </c>
    </row>
    <row r="154" customFormat="false" ht="15" hidden="false" customHeight="false" outlineLevel="0" collapsed="false">
      <c r="A154" s="11" t="s">
        <v>199</v>
      </c>
      <c r="B154" s="11" t="s">
        <v>36</v>
      </c>
      <c r="C154" s="11" t="s">
        <v>37</v>
      </c>
      <c r="D154" s="11" t="n">
        <v>22</v>
      </c>
      <c r="E154" s="11" t="n">
        <v>2</v>
      </c>
      <c r="F154" s="12" t="n">
        <v>45700</v>
      </c>
      <c r="G154" s="11" t="n">
        <v>3</v>
      </c>
      <c r="H154" s="11" t="s">
        <v>43</v>
      </c>
      <c r="I154" s="11" t="s">
        <v>43</v>
      </c>
      <c r="J154" s="11" t="str">
        <f aca="false">IF(E154&lt;=2,"0-2 yrs",IF(E154&lt;=5,"3-5 yrs",IF(E154&lt;=10,"6-10 yrs","10+ yrs")))</f>
        <v>0-2 yrs</v>
      </c>
      <c r="K154" s="11" t="str">
        <f aca="false">IF(F154&lt;35000,"Low",IF(F154&lt;70000,"Medium","High"))</f>
        <v>Medium</v>
      </c>
    </row>
    <row r="155" customFormat="false" ht="15" hidden="false" customHeight="false" outlineLevel="0" collapsed="false">
      <c r="A155" s="11" t="s">
        <v>200</v>
      </c>
      <c r="B155" s="11" t="s">
        <v>36</v>
      </c>
      <c r="C155" s="11" t="s">
        <v>42</v>
      </c>
      <c r="D155" s="11" t="n">
        <v>45</v>
      </c>
      <c r="E155" s="11" t="n">
        <v>7</v>
      </c>
      <c r="F155" s="12" t="n">
        <v>52400</v>
      </c>
      <c r="G155" s="11" t="n">
        <v>4</v>
      </c>
      <c r="H155" s="11" t="s">
        <v>43</v>
      </c>
      <c r="I155" s="11" t="s">
        <v>43</v>
      </c>
      <c r="J155" s="11" t="str">
        <f aca="false">IF(E155&lt;=2,"0-2 yrs",IF(E155&lt;=5,"3-5 yrs",IF(E155&lt;=10,"6-10 yrs","10+ yrs")))</f>
        <v>6-10 yrs</v>
      </c>
      <c r="K155" s="11" t="str">
        <f aca="false">IF(F155&lt;35000,"Low",IF(F155&lt;70000,"Medium","High"))</f>
        <v>Medium</v>
      </c>
    </row>
    <row r="156" customFormat="false" ht="15" hidden="false" customHeight="false" outlineLevel="0" collapsed="false">
      <c r="A156" s="11" t="s">
        <v>201</v>
      </c>
      <c r="B156" s="11" t="s">
        <v>41</v>
      </c>
      <c r="C156" s="11" t="s">
        <v>37</v>
      </c>
      <c r="D156" s="11" t="n">
        <v>52</v>
      </c>
      <c r="E156" s="11" t="n">
        <v>8</v>
      </c>
      <c r="F156" s="12" t="n">
        <v>57900</v>
      </c>
      <c r="G156" s="11" t="n">
        <v>2</v>
      </c>
      <c r="H156" s="11" t="s">
        <v>38</v>
      </c>
      <c r="I156" s="11" t="s">
        <v>38</v>
      </c>
      <c r="J156" s="11" t="str">
        <f aca="false">IF(E156&lt;=2,"0-2 yrs",IF(E156&lt;=5,"3-5 yrs",IF(E156&lt;=10,"6-10 yrs","10+ yrs")))</f>
        <v>6-10 yrs</v>
      </c>
      <c r="K156" s="11" t="str">
        <f aca="false">IF(F156&lt;35000,"Low",IF(F156&lt;70000,"Medium","High"))</f>
        <v>Medium</v>
      </c>
    </row>
    <row r="157" customFormat="false" ht="15" hidden="false" customHeight="false" outlineLevel="0" collapsed="false">
      <c r="A157" s="11" t="s">
        <v>202</v>
      </c>
      <c r="B157" s="11" t="s">
        <v>41</v>
      </c>
      <c r="C157" s="11" t="s">
        <v>37</v>
      </c>
      <c r="D157" s="11" t="n">
        <v>30</v>
      </c>
      <c r="E157" s="11" t="n">
        <v>0</v>
      </c>
      <c r="F157" s="12" t="n">
        <v>35800</v>
      </c>
      <c r="G157" s="11" t="n">
        <v>3</v>
      </c>
      <c r="H157" s="11" t="s">
        <v>43</v>
      </c>
      <c r="I157" s="11" t="s">
        <v>43</v>
      </c>
      <c r="J157" s="11" t="str">
        <f aca="false">IF(E157&lt;=2,"0-2 yrs",IF(E157&lt;=5,"3-5 yrs",IF(E157&lt;=10,"6-10 yrs","10+ yrs")))</f>
        <v>0-2 yrs</v>
      </c>
      <c r="K157" s="11" t="str">
        <f aca="false">IF(F157&lt;35000,"Low",IF(F157&lt;70000,"Medium","High"))</f>
        <v>Medium</v>
      </c>
    </row>
    <row r="158" customFormat="false" ht="15" hidden="false" customHeight="false" outlineLevel="0" collapsed="false">
      <c r="A158" s="11" t="s">
        <v>203</v>
      </c>
      <c r="B158" s="11" t="s">
        <v>51</v>
      </c>
      <c r="C158" s="11" t="s">
        <v>37</v>
      </c>
      <c r="D158" s="11" t="n">
        <v>25</v>
      </c>
      <c r="E158" s="11" t="n">
        <v>4</v>
      </c>
      <c r="F158" s="12" t="n">
        <v>81900</v>
      </c>
      <c r="G158" s="11" t="n">
        <v>3</v>
      </c>
      <c r="H158" s="11" t="s">
        <v>43</v>
      </c>
      <c r="I158" s="11" t="s">
        <v>43</v>
      </c>
      <c r="J158" s="11" t="str">
        <f aca="false">IF(E158&lt;=2,"0-2 yrs",IF(E158&lt;=5,"3-5 yrs",IF(E158&lt;=10,"6-10 yrs","10+ yrs")))</f>
        <v>3-5 yrs</v>
      </c>
      <c r="K158" s="11" t="str">
        <f aca="false">IF(F158&lt;35000,"Low",IF(F158&lt;70000,"Medium","High"))</f>
        <v>High</v>
      </c>
    </row>
    <row r="159" customFormat="false" ht="15" hidden="false" customHeight="false" outlineLevel="0" collapsed="false">
      <c r="A159" s="11" t="s">
        <v>204</v>
      </c>
      <c r="B159" s="11" t="s">
        <v>54</v>
      </c>
      <c r="C159" s="11" t="s">
        <v>37</v>
      </c>
      <c r="D159" s="11" t="n">
        <v>25</v>
      </c>
      <c r="E159" s="11" t="n">
        <v>4</v>
      </c>
      <c r="F159" s="12" t="n">
        <v>51000</v>
      </c>
      <c r="G159" s="11" t="n">
        <v>4</v>
      </c>
      <c r="H159" s="11" t="s">
        <v>43</v>
      </c>
      <c r="I159" s="11" t="s">
        <v>43</v>
      </c>
      <c r="J159" s="11" t="str">
        <f aca="false">IF(E159&lt;=2,"0-2 yrs",IF(E159&lt;=5,"3-5 yrs",IF(E159&lt;=10,"6-10 yrs","10+ yrs")))</f>
        <v>3-5 yrs</v>
      </c>
      <c r="K159" s="11" t="str">
        <f aca="false">IF(F159&lt;35000,"Low",IF(F159&lt;70000,"Medium","High"))</f>
        <v>Medium</v>
      </c>
    </row>
    <row r="160" customFormat="false" ht="15" hidden="false" customHeight="false" outlineLevel="0" collapsed="false">
      <c r="A160" s="11" t="s">
        <v>205</v>
      </c>
      <c r="B160" s="11" t="s">
        <v>36</v>
      </c>
      <c r="C160" s="11" t="s">
        <v>42</v>
      </c>
      <c r="D160" s="11" t="n">
        <v>36</v>
      </c>
      <c r="E160" s="11" t="n">
        <v>14</v>
      </c>
      <c r="F160" s="12" t="n">
        <v>74500</v>
      </c>
      <c r="G160" s="11" t="n">
        <v>2</v>
      </c>
      <c r="H160" s="11" t="s">
        <v>43</v>
      </c>
      <c r="I160" s="11" t="s">
        <v>38</v>
      </c>
      <c r="J160" s="11" t="str">
        <f aca="false">IF(E160&lt;=2,"0-2 yrs",IF(E160&lt;=5,"3-5 yrs",IF(E160&lt;=10,"6-10 yrs","10+ yrs")))</f>
        <v>10+ yrs</v>
      </c>
      <c r="K160" s="11" t="str">
        <f aca="false">IF(F160&lt;35000,"Low",IF(F160&lt;70000,"Medium","High"))</f>
        <v>High</v>
      </c>
    </row>
    <row r="161" customFormat="false" ht="15" hidden="false" customHeight="false" outlineLevel="0" collapsed="false">
      <c r="A161" s="11" t="s">
        <v>206</v>
      </c>
      <c r="B161" s="11" t="s">
        <v>36</v>
      </c>
      <c r="C161" s="11" t="s">
        <v>37</v>
      </c>
      <c r="D161" s="11" t="n">
        <v>35</v>
      </c>
      <c r="E161" s="11" t="n">
        <v>3</v>
      </c>
      <c r="F161" s="12" t="n">
        <v>47100</v>
      </c>
      <c r="G161" s="11" t="n">
        <v>3</v>
      </c>
      <c r="H161" s="11" t="s">
        <v>43</v>
      </c>
      <c r="I161" s="11" t="s">
        <v>43</v>
      </c>
      <c r="J161" s="11" t="str">
        <f aca="false">IF(E161&lt;=2,"0-2 yrs",IF(E161&lt;=5,"3-5 yrs",IF(E161&lt;=10,"6-10 yrs","10+ yrs")))</f>
        <v>3-5 yrs</v>
      </c>
      <c r="K161" s="11" t="str">
        <f aca="false">IF(F161&lt;35000,"Low",IF(F161&lt;70000,"Medium","High"))</f>
        <v>Medium</v>
      </c>
    </row>
    <row r="162" customFormat="false" ht="15" hidden="false" customHeight="false" outlineLevel="0" collapsed="false">
      <c r="A162" s="11" t="s">
        <v>207</v>
      </c>
      <c r="B162" s="11" t="s">
        <v>36</v>
      </c>
      <c r="C162" s="11" t="s">
        <v>37</v>
      </c>
      <c r="D162" s="11" t="n">
        <v>54</v>
      </c>
      <c r="E162" s="11" t="n">
        <v>6</v>
      </c>
      <c r="F162" s="12" t="n">
        <v>44600</v>
      </c>
      <c r="G162" s="11" t="n">
        <v>2</v>
      </c>
      <c r="H162" s="11" t="s">
        <v>38</v>
      </c>
      <c r="I162" s="11" t="s">
        <v>38</v>
      </c>
      <c r="J162" s="11" t="str">
        <f aca="false">IF(E162&lt;=2,"0-2 yrs",IF(E162&lt;=5,"3-5 yrs",IF(E162&lt;=10,"6-10 yrs","10+ yrs")))</f>
        <v>6-10 yrs</v>
      </c>
      <c r="K162" s="11" t="str">
        <f aca="false">IF(F162&lt;35000,"Low",IF(F162&lt;70000,"Medium","High"))</f>
        <v>Medium</v>
      </c>
    </row>
    <row r="163" customFormat="false" ht="15" hidden="false" customHeight="false" outlineLevel="0" collapsed="false">
      <c r="A163" s="11" t="s">
        <v>208</v>
      </c>
      <c r="B163" s="11" t="s">
        <v>36</v>
      </c>
      <c r="C163" s="11" t="s">
        <v>42</v>
      </c>
      <c r="D163" s="11" t="n">
        <v>37</v>
      </c>
      <c r="E163" s="11" t="n">
        <v>0</v>
      </c>
      <c r="F163" s="12" t="n">
        <v>36500</v>
      </c>
      <c r="G163" s="11" t="n">
        <v>4</v>
      </c>
      <c r="H163" s="11" t="s">
        <v>38</v>
      </c>
      <c r="I163" s="11" t="s">
        <v>43</v>
      </c>
      <c r="J163" s="11" t="str">
        <f aca="false">IF(E163&lt;=2,"0-2 yrs",IF(E163&lt;=5,"3-5 yrs",IF(E163&lt;=10,"6-10 yrs","10+ yrs")))</f>
        <v>0-2 yrs</v>
      </c>
      <c r="K163" s="11" t="str">
        <f aca="false">IF(F163&lt;35000,"Low",IF(F163&lt;70000,"Medium","High"))</f>
        <v>Medium</v>
      </c>
    </row>
    <row r="164" customFormat="false" ht="15" hidden="false" customHeight="false" outlineLevel="0" collapsed="false">
      <c r="A164" s="11" t="s">
        <v>209</v>
      </c>
      <c r="B164" s="11" t="s">
        <v>36</v>
      </c>
      <c r="C164" s="11" t="s">
        <v>42</v>
      </c>
      <c r="D164" s="11" t="n">
        <v>22</v>
      </c>
      <c r="E164" s="11" t="n">
        <v>2</v>
      </c>
      <c r="F164" s="12" t="n">
        <v>37300</v>
      </c>
      <c r="G164" s="11" t="n">
        <v>3</v>
      </c>
      <c r="H164" s="11" t="s">
        <v>43</v>
      </c>
      <c r="I164" s="11" t="s">
        <v>43</v>
      </c>
      <c r="J164" s="11" t="str">
        <f aca="false">IF(E164&lt;=2,"0-2 yrs",IF(E164&lt;=5,"3-5 yrs",IF(E164&lt;=10,"6-10 yrs","10+ yrs")))</f>
        <v>0-2 yrs</v>
      </c>
      <c r="K164" s="11" t="str">
        <f aca="false">IF(F164&lt;35000,"Low",IF(F164&lt;70000,"Medium","High"))</f>
        <v>Medium</v>
      </c>
    </row>
    <row r="165" customFormat="false" ht="15" hidden="false" customHeight="false" outlineLevel="0" collapsed="false">
      <c r="A165" s="11" t="s">
        <v>210</v>
      </c>
      <c r="B165" s="11" t="s">
        <v>48</v>
      </c>
      <c r="C165" s="11" t="s">
        <v>37</v>
      </c>
      <c r="D165" s="11" t="n">
        <v>26</v>
      </c>
      <c r="E165" s="11" t="n">
        <v>6</v>
      </c>
      <c r="F165" s="12" t="n">
        <v>57300</v>
      </c>
      <c r="G165" s="11" t="n">
        <v>2</v>
      </c>
      <c r="H165" s="11" t="s">
        <v>38</v>
      </c>
      <c r="I165" s="11" t="s">
        <v>43</v>
      </c>
      <c r="J165" s="11" t="str">
        <f aca="false">IF(E165&lt;=2,"0-2 yrs",IF(E165&lt;=5,"3-5 yrs",IF(E165&lt;=10,"6-10 yrs","10+ yrs")))</f>
        <v>6-10 yrs</v>
      </c>
      <c r="K165" s="11" t="str">
        <f aca="false">IF(F165&lt;35000,"Low",IF(F165&lt;70000,"Medium","High"))</f>
        <v>Medium</v>
      </c>
    </row>
    <row r="166" customFormat="false" ht="15" hidden="false" customHeight="false" outlineLevel="0" collapsed="false">
      <c r="A166" s="11" t="s">
        <v>211</v>
      </c>
      <c r="B166" s="11" t="s">
        <v>36</v>
      </c>
      <c r="C166" s="11" t="s">
        <v>37</v>
      </c>
      <c r="D166" s="11" t="n">
        <v>40</v>
      </c>
      <c r="E166" s="11" t="n">
        <v>1</v>
      </c>
      <c r="F166" s="12" t="n">
        <v>24500</v>
      </c>
      <c r="G166" s="11" t="n">
        <v>3</v>
      </c>
      <c r="H166" s="11" t="s">
        <v>38</v>
      </c>
      <c r="I166" s="11" t="s">
        <v>38</v>
      </c>
      <c r="J166" s="11" t="str">
        <f aca="false">IF(E166&lt;=2,"0-2 yrs",IF(E166&lt;=5,"3-5 yrs",IF(E166&lt;=10,"6-10 yrs","10+ yrs")))</f>
        <v>0-2 yrs</v>
      </c>
      <c r="K166" s="11" t="str">
        <f aca="false">IF(F166&lt;35000,"Low",IF(F166&lt;70000,"Medium","High"))</f>
        <v>Low</v>
      </c>
    </row>
    <row r="167" customFormat="false" ht="15" hidden="false" customHeight="false" outlineLevel="0" collapsed="false">
      <c r="A167" s="11" t="s">
        <v>212</v>
      </c>
      <c r="B167" s="11" t="s">
        <v>41</v>
      </c>
      <c r="C167" s="11" t="s">
        <v>42</v>
      </c>
      <c r="D167" s="11" t="n">
        <v>30</v>
      </c>
      <c r="E167" s="11" t="n">
        <v>4</v>
      </c>
      <c r="F167" s="12" t="n">
        <v>52600</v>
      </c>
      <c r="G167" s="11" t="n">
        <v>2</v>
      </c>
      <c r="H167" s="11" t="s">
        <v>38</v>
      </c>
      <c r="I167" s="11" t="s">
        <v>38</v>
      </c>
      <c r="J167" s="11" t="str">
        <f aca="false">IF(E167&lt;=2,"0-2 yrs",IF(E167&lt;=5,"3-5 yrs",IF(E167&lt;=10,"6-10 yrs","10+ yrs")))</f>
        <v>3-5 yrs</v>
      </c>
      <c r="K167" s="11" t="str">
        <f aca="false">IF(F167&lt;35000,"Low",IF(F167&lt;70000,"Medium","High"))</f>
        <v>Medium</v>
      </c>
    </row>
    <row r="168" customFormat="false" ht="15" hidden="false" customHeight="false" outlineLevel="0" collapsed="false">
      <c r="A168" s="11" t="s">
        <v>213</v>
      </c>
      <c r="B168" s="11" t="s">
        <v>36</v>
      </c>
      <c r="C168" s="11" t="s">
        <v>42</v>
      </c>
      <c r="D168" s="11" t="n">
        <v>52</v>
      </c>
      <c r="E168" s="11" t="n">
        <v>12</v>
      </c>
      <c r="F168" s="12" t="n">
        <v>56000</v>
      </c>
      <c r="G168" s="11" t="n">
        <v>1</v>
      </c>
      <c r="H168" s="11" t="s">
        <v>43</v>
      </c>
      <c r="I168" s="11" t="s">
        <v>38</v>
      </c>
      <c r="J168" s="11" t="str">
        <f aca="false">IF(E168&lt;=2,"0-2 yrs",IF(E168&lt;=5,"3-5 yrs",IF(E168&lt;=10,"6-10 yrs","10+ yrs")))</f>
        <v>10+ yrs</v>
      </c>
      <c r="K168" s="11" t="str">
        <f aca="false">IF(F168&lt;35000,"Low",IF(F168&lt;70000,"Medium","High"))</f>
        <v>Medium</v>
      </c>
    </row>
    <row r="169" customFormat="false" ht="15" hidden="false" customHeight="false" outlineLevel="0" collapsed="false">
      <c r="A169" s="11" t="s">
        <v>214</v>
      </c>
      <c r="B169" s="11" t="s">
        <v>36</v>
      </c>
      <c r="C169" s="11" t="s">
        <v>37</v>
      </c>
      <c r="D169" s="11" t="n">
        <v>21</v>
      </c>
      <c r="E169" s="11" t="n">
        <v>1</v>
      </c>
      <c r="F169" s="12" t="n">
        <v>40300</v>
      </c>
      <c r="G169" s="11" t="n">
        <v>2</v>
      </c>
      <c r="H169" s="11" t="s">
        <v>43</v>
      </c>
      <c r="I169" s="11" t="s">
        <v>43</v>
      </c>
      <c r="J169" s="11" t="str">
        <f aca="false">IF(E169&lt;=2,"0-2 yrs",IF(E169&lt;=5,"3-5 yrs",IF(E169&lt;=10,"6-10 yrs","10+ yrs")))</f>
        <v>0-2 yrs</v>
      </c>
      <c r="K169" s="11" t="str">
        <f aca="false">IF(F169&lt;35000,"Low",IF(F169&lt;70000,"Medium","High"))</f>
        <v>Medium</v>
      </c>
    </row>
    <row r="170" customFormat="false" ht="15" hidden="false" customHeight="false" outlineLevel="0" collapsed="false">
      <c r="A170" s="11" t="s">
        <v>215</v>
      </c>
      <c r="B170" s="11" t="s">
        <v>41</v>
      </c>
      <c r="C170" s="11" t="s">
        <v>37</v>
      </c>
      <c r="D170" s="11" t="n">
        <v>28</v>
      </c>
      <c r="E170" s="11" t="n">
        <v>8</v>
      </c>
      <c r="F170" s="12" t="n">
        <v>55200</v>
      </c>
      <c r="G170" s="11" t="n">
        <v>4</v>
      </c>
      <c r="H170" s="11" t="s">
        <v>43</v>
      </c>
      <c r="I170" s="11" t="s">
        <v>43</v>
      </c>
      <c r="J170" s="11" t="str">
        <f aca="false">IF(E170&lt;=2,"0-2 yrs",IF(E170&lt;=5,"3-5 yrs",IF(E170&lt;=10,"6-10 yrs","10+ yrs")))</f>
        <v>6-10 yrs</v>
      </c>
      <c r="K170" s="11" t="str">
        <f aca="false">IF(F170&lt;35000,"Low",IF(F170&lt;70000,"Medium","High"))</f>
        <v>Medium</v>
      </c>
    </row>
    <row r="171" customFormat="false" ht="15" hidden="false" customHeight="false" outlineLevel="0" collapsed="false">
      <c r="A171" s="11" t="s">
        <v>216</v>
      </c>
      <c r="B171" s="11" t="s">
        <v>46</v>
      </c>
      <c r="C171" s="11" t="s">
        <v>42</v>
      </c>
      <c r="D171" s="11" t="n">
        <v>54</v>
      </c>
      <c r="E171" s="11" t="n">
        <v>8</v>
      </c>
      <c r="F171" s="12" t="n">
        <v>58500</v>
      </c>
      <c r="G171" s="11" t="n">
        <v>3</v>
      </c>
      <c r="H171" s="11" t="s">
        <v>43</v>
      </c>
      <c r="I171" s="11" t="s">
        <v>43</v>
      </c>
      <c r="J171" s="11" t="str">
        <f aca="false">IF(E171&lt;=2,"0-2 yrs",IF(E171&lt;=5,"3-5 yrs",IF(E171&lt;=10,"6-10 yrs","10+ yrs")))</f>
        <v>6-10 yrs</v>
      </c>
      <c r="K171" s="11" t="str">
        <f aca="false">IF(F171&lt;35000,"Low",IF(F171&lt;70000,"Medium","High"))</f>
        <v>Medium</v>
      </c>
    </row>
    <row r="172" customFormat="false" ht="15" hidden="false" customHeight="false" outlineLevel="0" collapsed="false">
      <c r="A172" s="11" t="s">
        <v>217</v>
      </c>
      <c r="B172" s="11" t="s">
        <v>54</v>
      </c>
      <c r="C172" s="11" t="s">
        <v>42</v>
      </c>
      <c r="D172" s="11" t="n">
        <v>54</v>
      </c>
      <c r="E172" s="11" t="n">
        <v>2</v>
      </c>
      <c r="F172" s="12" t="n">
        <v>48600</v>
      </c>
      <c r="G172" s="11" t="n">
        <v>4</v>
      </c>
      <c r="H172" s="11" t="s">
        <v>43</v>
      </c>
      <c r="I172" s="11" t="s">
        <v>43</v>
      </c>
      <c r="J172" s="11" t="str">
        <f aca="false">IF(E172&lt;=2,"0-2 yrs",IF(E172&lt;=5,"3-5 yrs",IF(E172&lt;=10,"6-10 yrs","10+ yrs")))</f>
        <v>0-2 yrs</v>
      </c>
      <c r="K172" s="11" t="str">
        <f aca="false">IF(F172&lt;35000,"Low",IF(F172&lt;70000,"Medium","High"))</f>
        <v>Medium</v>
      </c>
    </row>
    <row r="173" customFormat="false" ht="15" hidden="false" customHeight="false" outlineLevel="0" collapsed="false">
      <c r="A173" s="11" t="s">
        <v>218</v>
      </c>
      <c r="B173" s="11" t="s">
        <v>51</v>
      </c>
      <c r="C173" s="11" t="s">
        <v>37</v>
      </c>
      <c r="D173" s="11" t="n">
        <v>27</v>
      </c>
      <c r="E173" s="11" t="n">
        <v>3</v>
      </c>
      <c r="F173" s="12" t="n">
        <v>76400</v>
      </c>
      <c r="G173" s="11" t="n">
        <v>2</v>
      </c>
      <c r="H173" s="11" t="s">
        <v>38</v>
      </c>
      <c r="I173" s="11" t="s">
        <v>38</v>
      </c>
      <c r="J173" s="11" t="str">
        <f aca="false">IF(E173&lt;=2,"0-2 yrs",IF(E173&lt;=5,"3-5 yrs",IF(E173&lt;=10,"6-10 yrs","10+ yrs")))</f>
        <v>3-5 yrs</v>
      </c>
      <c r="K173" s="11" t="str">
        <f aca="false">IF(F173&lt;35000,"Low",IF(F173&lt;70000,"Medium","High"))</f>
        <v>High</v>
      </c>
    </row>
    <row r="174" customFormat="false" ht="15" hidden="false" customHeight="false" outlineLevel="0" collapsed="false">
      <c r="A174" s="11" t="s">
        <v>219</v>
      </c>
      <c r="B174" s="11" t="s">
        <v>48</v>
      </c>
      <c r="C174" s="11" t="s">
        <v>37</v>
      </c>
      <c r="D174" s="11" t="n">
        <v>34</v>
      </c>
      <c r="E174" s="11" t="n">
        <v>3</v>
      </c>
      <c r="F174" s="12" t="n">
        <v>57800</v>
      </c>
      <c r="G174" s="11" t="n">
        <v>4</v>
      </c>
      <c r="H174" s="11" t="s">
        <v>43</v>
      </c>
      <c r="I174" s="11" t="s">
        <v>43</v>
      </c>
      <c r="J174" s="11" t="str">
        <f aca="false">IF(E174&lt;=2,"0-2 yrs",IF(E174&lt;=5,"3-5 yrs",IF(E174&lt;=10,"6-10 yrs","10+ yrs")))</f>
        <v>3-5 yrs</v>
      </c>
      <c r="K174" s="11" t="str">
        <f aca="false">IF(F174&lt;35000,"Low",IF(F174&lt;70000,"Medium","High"))</f>
        <v>Medium</v>
      </c>
    </row>
    <row r="175" customFormat="false" ht="15" hidden="false" customHeight="false" outlineLevel="0" collapsed="false">
      <c r="A175" s="11" t="s">
        <v>220</v>
      </c>
      <c r="B175" s="11" t="s">
        <v>51</v>
      </c>
      <c r="C175" s="11" t="s">
        <v>37</v>
      </c>
      <c r="D175" s="11" t="n">
        <v>30</v>
      </c>
      <c r="E175" s="11" t="n">
        <v>1</v>
      </c>
      <c r="F175" s="12" t="n">
        <v>73000</v>
      </c>
      <c r="G175" s="11" t="n">
        <v>3</v>
      </c>
      <c r="H175" s="11" t="s">
        <v>38</v>
      </c>
      <c r="I175" s="11" t="s">
        <v>38</v>
      </c>
      <c r="J175" s="11" t="str">
        <f aca="false">IF(E175&lt;=2,"0-2 yrs",IF(E175&lt;=5,"3-5 yrs",IF(E175&lt;=10,"6-10 yrs","10+ yrs")))</f>
        <v>0-2 yrs</v>
      </c>
      <c r="K175" s="11" t="str">
        <f aca="false">IF(F175&lt;35000,"Low",IF(F175&lt;70000,"Medium","High"))</f>
        <v>High</v>
      </c>
    </row>
    <row r="176" customFormat="false" ht="15" hidden="false" customHeight="false" outlineLevel="0" collapsed="false">
      <c r="A176" s="11" t="s">
        <v>221</v>
      </c>
      <c r="B176" s="11" t="s">
        <v>41</v>
      </c>
      <c r="C176" s="11" t="s">
        <v>42</v>
      </c>
      <c r="D176" s="11" t="n">
        <v>30</v>
      </c>
      <c r="E176" s="11" t="n">
        <v>10</v>
      </c>
      <c r="F176" s="12" t="n">
        <v>68800</v>
      </c>
      <c r="G176" s="11" t="n">
        <v>1</v>
      </c>
      <c r="H176" s="11" t="s">
        <v>43</v>
      </c>
      <c r="I176" s="11" t="s">
        <v>43</v>
      </c>
      <c r="J176" s="11" t="str">
        <f aca="false">IF(E176&lt;=2,"0-2 yrs",IF(E176&lt;=5,"3-5 yrs",IF(E176&lt;=10,"6-10 yrs","10+ yrs")))</f>
        <v>6-10 yrs</v>
      </c>
      <c r="K176" s="11" t="str">
        <f aca="false">IF(F176&lt;35000,"Low",IF(F176&lt;70000,"Medium","High"))</f>
        <v>Medium</v>
      </c>
    </row>
    <row r="177" customFormat="false" ht="15" hidden="false" customHeight="false" outlineLevel="0" collapsed="false">
      <c r="A177" s="11" t="s">
        <v>222</v>
      </c>
      <c r="B177" s="11" t="s">
        <v>36</v>
      </c>
      <c r="C177" s="11" t="s">
        <v>42</v>
      </c>
      <c r="D177" s="11" t="n">
        <v>25</v>
      </c>
      <c r="E177" s="11" t="n">
        <v>5</v>
      </c>
      <c r="F177" s="12" t="n">
        <v>51800</v>
      </c>
      <c r="G177" s="11" t="n">
        <v>4</v>
      </c>
      <c r="H177" s="11" t="s">
        <v>43</v>
      </c>
      <c r="I177" s="11" t="s">
        <v>43</v>
      </c>
      <c r="J177" s="11" t="str">
        <f aca="false">IF(E177&lt;=2,"0-2 yrs",IF(E177&lt;=5,"3-5 yrs",IF(E177&lt;=10,"6-10 yrs","10+ yrs")))</f>
        <v>3-5 yrs</v>
      </c>
      <c r="K177" s="11" t="str">
        <f aca="false">IF(F177&lt;35000,"Low",IF(F177&lt;70000,"Medium","High"))</f>
        <v>Medium</v>
      </c>
    </row>
    <row r="178" customFormat="false" ht="15" hidden="false" customHeight="false" outlineLevel="0" collapsed="false">
      <c r="A178" s="11" t="s">
        <v>223</v>
      </c>
      <c r="B178" s="11" t="s">
        <v>51</v>
      </c>
      <c r="C178" s="11" t="s">
        <v>37</v>
      </c>
      <c r="D178" s="11" t="n">
        <v>24</v>
      </c>
      <c r="E178" s="11" t="n">
        <v>4</v>
      </c>
      <c r="F178" s="12" t="n">
        <v>77000</v>
      </c>
      <c r="G178" s="11" t="n">
        <v>4</v>
      </c>
      <c r="H178" s="11" t="s">
        <v>43</v>
      </c>
      <c r="I178" s="11" t="s">
        <v>43</v>
      </c>
      <c r="J178" s="11" t="str">
        <f aca="false">IF(E178&lt;=2,"0-2 yrs",IF(E178&lt;=5,"3-5 yrs",IF(E178&lt;=10,"6-10 yrs","10+ yrs")))</f>
        <v>3-5 yrs</v>
      </c>
      <c r="K178" s="11" t="str">
        <f aca="false">IF(F178&lt;35000,"Low",IF(F178&lt;70000,"Medium","High"))</f>
        <v>High</v>
      </c>
    </row>
    <row r="179" customFormat="false" ht="15" hidden="false" customHeight="false" outlineLevel="0" collapsed="false">
      <c r="A179" s="11" t="s">
        <v>224</v>
      </c>
      <c r="B179" s="11" t="s">
        <v>48</v>
      </c>
      <c r="C179" s="11" t="s">
        <v>42</v>
      </c>
      <c r="D179" s="11" t="n">
        <v>39</v>
      </c>
      <c r="E179" s="11" t="n">
        <v>3</v>
      </c>
      <c r="F179" s="12" t="n">
        <v>59300</v>
      </c>
      <c r="G179" s="11" t="n">
        <v>4</v>
      </c>
      <c r="H179" s="11" t="s">
        <v>38</v>
      </c>
      <c r="I179" s="11" t="s">
        <v>43</v>
      </c>
      <c r="J179" s="11" t="str">
        <f aca="false">IF(E179&lt;=2,"0-2 yrs",IF(E179&lt;=5,"3-5 yrs",IF(E179&lt;=10,"6-10 yrs","10+ yrs")))</f>
        <v>3-5 yrs</v>
      </c>
      <c r="K179" s="11" t="str">
        <f aca="false">IF(F179&lt;35000,"Low",IF(F179&lt;70000,"Medium","High"))</f>
        <v>Medium</v>
      </c>
    </row>
    <row r="180" customFormat="false" ht="15" hidden="false" customHeight="false" outlineLevel="0" collapsed="false">
      <c r="A180" s="11" t="s">
        <v>225</v>
      </c>
      <c r="B180" s="11" t="s">
        <v>48</v>
      </c>
      <c r="C180" s="11" t="s">
        <v>37</v>
      </c>
      <c r="D180" s="11" t="n">
        <v>48</v>
      </c>
      <c r="E180" s="11" t="n">
        <v>7</v>
      </c>
      <c r="F180" s="12" t="n">
        <v>82800</v>
      </c>
      <c r="G180" s="11" t="n">
        <v>1</v>
      </c>
      <c r="H180" s="11" t="s">
        <v>43</v>
      </c>
      <c r="I180" s="11" t="s">
        <v>43</v>
      </c>
      <c r="J180" s="11" t="str">
        <f aca="false">IF(E180&lt;=2,"0-2 yrs",IF(E180&lt;=5,"3-5 yrs",IF(E180&lt;=10,"6-10 yrs","10+ yrs")))</f>
        <v>6-10 yrs</v>
      </c>
      <c r="K180" s="11" t="str">
        <f aca="false">IF(F180&lt;35000,"Low",IF(F180&lt;70000,"Medium","High"))</f>
        <v>High</v>
      </c>
    </row>
    <row r="181" customFormat="false" ht="15" hidden="false" customHeight="false" outlineLevel="0" collapsed="false">
      <c r="A181" s="11" t="s">
        <v>226</v>
      </c>
      <c r="B181" s="11" t="s">
        <v>41</v>
      </c>
      <c r="C181" s="11" t="s">
        <v>42</v>
      </c>
      <c r="D181" s="11" t="n">
        <v>22</v>
      </c>
      <c r="E181" s="11" t="n">
        <v>2</v>
      </c>
      <c r="F181" s="12" t="n">
        <v>33400</v>
      </c>
      <c r="G181" s="11" t="n">
        <v>1</v>
      </c>
      <c r="H181" s="11" t="s">
        <v>43</v>
      </c>
      <c r="I181" s="11" t="s">
        <v>43</v>
      </c>
      <c r="J181" s="11" t="str">
        <f aca="false">IF(E181&lt;=2,"0-2 yrs",IF(E181&lt;=5,"3-5 yrs",IF(E181&lt;=10,"6-10 yrs","10+ yrs")))</f>
        <v>0-2 yrs</v>
      </c>
      <c r="K181" s="11" t="str">
        <f aca="false">IF(F181&lt;35000,"Low",IF(F181&lt;70000,"Medium","High"))</f>
        <v>Low</v>
      </c>
    </row>
    <row r="182" customFormat="false" ht="15" hidden="false" customHeight="false" outlineLevel="0" collapsed="false">
      <c r="A182" s="11" t="s">
        <v>227</v>
      </c>
      <c r="B182" s="11" t="s">
        <v>36</v>
      </c>
      <c r="C182" s="11" t="s">
        <v>42</v>
      </c>
      <c r="D182" s="11" t="n">
        <v>55</v>
      </c>
      <c r="E182" s="11" t="n">
        <v>0</v>
      </c>
      <c r="F182" s="12" t="n">
        <v>38500</v>
      </c>
      <c r="G182" s="11" t="n">
        <v>2</v>
      </c>
      <c r="H182" s="11" t="s">
        <v>43</v>
      </c>
      <c r="I182" s="11" t="s">
        <v>43</v>
      </c>
      <c r="J182" s="11" t="str">
        <f aca="false">IF(E182&lt;=2,"0-2 yrs",IF(E182&lt;=5,"3-5 yrs",IF(E182&lt;=10,"6-10 yrs","10+ yrs")))</f>
        <v>0-2 yrs</v>
      </c>
      <c r="K182" s="11" t="str">
        <f aca="false">IF(F182&lt;35000,"Low",IF(F182&lt;70000,"Medium","High"))</f>
        <v>Medium</v>
      </c>
    </row>
    <row r="183" customFormat="false" ht="15" hidden="false" customHeight="false" outlineLevel="0" collapsed="false">
      <c r="A183" s="11" t="s">
        <v>228</v>
      </c>
      <c r="B183" s="11" t="s">
        <v>51</v>
      </c>
      <c r="C183" s="11" t="s">
        <v>42</v>
      </c>
      <c r="D183" s="11" t="n">
        <v>28</v>
      </c>
      <c r="E183" s="11" t="n">
        <v>2</v>
      </c>
      <c r="F183" s="12" t="n">
        <v>72500</v>
      </c>
      <c r="G183" s="11" t="n">
        <v>4</v>
      </c>
      <c r="H183" s="11" t="s">
        <v>38</v>
      </c>
      <c r="I183" s="11" t="s">
        <v>43</v>
      </c>
      <c r="J183" s="11" t="str">
        <f aca="false">IF(E183&lt;=2,"0-2 yrs",IF(E183&lt;=5,"3-5 yrs",IF(E183&lt;=10,"6-10 yrs","10+ yrs")))</f>
        <v>0-2 yrs</v>
      </c>
      <c r="K183" s="11" t="str">
        <f aca="false">IF(F183&lt;35000,"Low",IF(F183&lt;70000,"Medium","High"))</f>
        <v>High</v>
      </c>
    </row>
    <row r="184" customFormat="false" ht="15" hidden="false" customHeight="false" outlineLevel="0" collapsed="false">
      <c r="A184" s="11" t="s">
        <v>229</v>
      </c>
      <c r="B184" s="11" t="s">
        <v>36</v>
      </c>
      <c r="C184" s="11" t="s">
        <v>42</v>
      </c>
      <c r="D184" s="11" t="n">
        <v>31</v>
      </c>
      <c r="E184" s="11" t="n">
        <v>11</v>
      </c>
      <c r="F184" s="12" t="n">
        <v>66100</v>
      </c>
      <c r="G184" s="11" t="n">
        <v>4</v>
      </c>
      <c r="H184" s="11" t="s">
        <v>43</v>
      </c>
      <c r="I184" s="11" t="s">
        <v>38</v>
      </c>
      <c r="J184" s="11" t="str">
        <f aca="false">IF(E184&lt;=2,"0-2 yrs",IF(E184&lt;=5,"3-5 yrs",IF(E184&lt;=10,"6-10 yrs","10+ yrs")))</f>
        <v>10+ yrs</v>
      </c>
      <c r="K184" s="11" t="str">
        <f aca="false">IF(F184&lt;35000,"Low",IF(F184&lt;70000,"Medium","High"))</f>
        <v>Medium</v>
      </c>
    </row>
    <row r="185" customFormat="false" ht="15" hidden="false" customHeight="false" outlineLevel="0" collapsed="false">
      <c r="A185" s="11" t="s">
        <v>230</v>
      </c>
      <c r="B185" s="11" t="s">
        <v>46</v>
      </c>
      <c r="C185" s="11" t="s">
        <v>37</v>
      </c>
      <c r="D185" s="11" t="n">
        <v>30</v>
      </c>
      <c r="E185" s="11" t="n">
        <v>10</v>
      </c>
      <c r="F185" s="12" t="n">
        <v>66800</v>
      </c>
      <c r="G185" s="11" t="n">
        <v>3</v>
      </c>
      <c r="H185" s="11" t="s">
        <v>43</v>
      </c>
      <c r="I185" s="11" t="s">
        <v>43</v>
      </c>
      <c r="J185" s="11" t="str">
        <f aca="false">IF(E185&lt;=2,"0-2 yrs",IF(E185&lt;=5,"3-5 yrs",IF(E185&lt;=10,"6-10 yrs","10+ yrs")))</f>
        <v>6-10 yrs</v>
      </c>
      <c r="K185" s="11" t="str">
        <f aca="false">IF(F185&lt;35000,"Low",IF(F185&lt;70000,"Medium","High"))</f>
        <v>Medium</v>
      </c>
    </row>
    <row r="186" customFormat="false" ht="15" hidden="false" customHeight="false" outlineLevel="0" collapsed="false">
      <c r="A186" s="11" t="s">
        <v>231</v>
      </c>
      <c r="B186" s="11" t="s">
        <v>51</v>
      </c>
      <c r="C186" s="11" t="s">
        <v>37</v>
      </c>
      <c r="D186" s="11" t="n">
        <v>21</v>
      </c>
      <c r="E186" s="11" t="n">
        <v>1</v>
      </c>
      <c r="F186" s="12" t="n">
        <v>86900</v>
      </c>
      <c r="G186" s="11" t="n">
        <v>3</v>
      </c>
      <c r="H186" s="11" t="s">
        <v>43</v>
      </c>
      <c r="I186" s="11" t="s">
        <v>38</v>
      </c>
      <c r="J186" s="11" t="str">
        <f aca="false">IF(E186&lt;=2,"0-2 yrs",IF(E186&lt;=5,"3-5 yrs",IF(E186&lt;=10,"6-10 yrs","10+ yrs")))</f>
        <v>0-2 yrs</v>
      </c>
      <c r="K186" s="11" t="str">
        <f aca="false">IF(F186&lt;35000,"Low",IF(F186&lt;70000,"Medium","High"))</f>
        <v>High</v>
      </c>
    </row>
    <row r="187" customFormat="false" ht="15" hidden="false" customHeight="false" outlineLevel="0" collapsed="false">
      <c r="A187" s="11" t="s">
        <v>232</v>
      </c>
      <c r="B187" s="11" t="s">
        <v>46</v>
      </c>
      <c r="C187" s="11" t="s">
        <v>42</v>
      </c>
      <c r="D187" s="11" t="n">
        <v>28</v>
      </c>
      <c r="E187" s="11" t="n">
        <v>8</v>
      </c>
      <c r="F187" s="12" t="n">
        <v>59900</v>
      </c>
      <c r="G187" s="11" t="n">
        <v>1</v>
      </c>
      <c r="H187" s="11" t="s">
        <v>38</v>
      </c>
      <c r="I187" s="11" t="s">
        <v>43</v>
      </c>
      <c r="J187" s="11" t="str">
        <f aca="false">IF(E187&lt;=2,"0-2 yrs",IF(E187&lt;=5,"3-5 yrs",IF(E187&lt;=10,"6-10 yrs","10+ yrs")))</f>
        <v>6-10 yrs</v>
      </c>
      <c r="K187" s="11" t="str">
        <f aca="false">IF(F187&lt;35000,"Low",IF(F187&lt;70000,"Medium","High"))</f>
        <v>Medium</v>
      </c>
    </row>
    <row r="188" customFormat="false" ht="15" hidden="false" customHeight="false" outlineLevel="0" collapsed="false">
      <c r="A188" s="11" t="s">
        <v>233</v>
      </c>
      <c r="B188" s="11" t="s">
        <v>48</v>
      </c>
      <c r="C188" s="11" t="s">
        <v>37</v>
      </c>
      <c r="D188" s="11" t="n">
        <v>40</v>
      </c>
      <c r="E188" s="11" t="n">
        <v>14</v>
      </c>
      <c r="F188" s="12" t="n">
        <v>95900</v>
      </c>
      <c r="G188" s="11" t="n">
        <v>3</v>
      </c>
      <c r="H188" s="11" t="s">
        <v>43</v>
      </c>
      <c r="I188" s="11" t="s">
        <v>43</v>
      </c>
      <c r="J188" s="11" t="str">
        <f aca="false">IF(E188&lt;=2,"0-2 yrs",IF(E188&lt;=5,"3-5 yrs",IF(E188&lt;=10,"6-10 yrs","10+ yrs")))</f>
        <v>10+ yrs</v>
      </c>
      <c r="K188" s="11" t="str">
        <f aca="false">IF(F188&lt;35000,"Low",IF(F188&lt;70000,"Medium","High"))</f>
        <v>High</v>
      </c>
    </row>
    <row r="189" customFormat="false" ht="15" hidden="false" customHeight="false" outlineLevel="0" collapsed="false">
      <c r="A189" s="11" t="s">
        <v>234</v>
      </c>
      <c r="B189" s="11" t="s">
        <v>36</v>
      </c>
      <c r="C189" s="11" t="s">
        <v>42</v>
      </c>
      <c r="D189" s="11" t="n">
        <v>38</v>
      </c>
      <c r="E189" s="11" t="n">
        <v>14</v>
      </c>
      <c r="F189" s="12" t="n">
        <v>68500</v>
      </c>
      <c r="G189" s="11" t="n">
        <v>4</v>
      </c>
      <c r="H189" s="11" t="s">
        <v>43</v>
      </c>
      <c r="I189" s="11" t="s">
        <v>43</v>
      </c>
      <c r="J189" s="11" t="str">
        <f aca="false">IF(E189&lt;=2,"0-2 yrs",IF(E189&lt;=5,"3-5 yrs",IF(E189&lt;=10,"6-10 yrs","10+ yrs")))</f>
        <v>10+ yrs</v>
      </c>
      <c r="K189" s="11" t="str">
        <f aca="false">IF(F189&lt;35000,"Low",IF(F189&lt;70000,"Medium","High"))</f>
        <v>Medium</v>
      </c>
    </row>
    <row r="190" customFormat="false" ht="15" hidden="false" customHeight="false" outlineLevel="0" collapsed="false">
      <c r="A190" s="11" t="s">
        <v>235</v>
      </c>
      <c r="B190" s="11" t="s">
        <v>41</v>
      </c>
      <c r="C190" s="11" t="s">
        <v>42</v>
      </c>
      <c r="D190" s="11" t="n">
        <v>39</v>
      </c>
      <c r="E190" s="11" t="n">
        <v>10</v>
      </c>
      <c r="F190" s="12" t="n">
        <v>65200</v>
      </c>
      <c r="G190" s="11" t="n">
        <v>3</v>
      </c>
      <c r="H190" s="11" t="s">
        <v>38</v>
      </c>
      <c r="I190" s="11" t="s">
        <v>43</v>
      </c>
      <c r="J190" s="11" t="str">
        <f aca="false">IF(E190&lt;=2,"0-2 yrs",IF(E190&lt;=5,"3-5 yrs",IF(E190&lt;=10,"6-10 yrs","10+ yrs")))</f>
        <v>6-10 yrs</v>
      </c>
      <c r="K190" s="11" t="str">
        <f aca="false">IF(F190&lt;35000,"Low",IF(F190&lt;70000,"Medium","High"))</f>
        <v>Medium</v>
      </c>
    </row>
    <row r="191" customFormat="false" ht="15" hidden="false" customHeight="false" outlineLevel="0" collapsed="false">
      <c r="A191" s="11" t="s">
        <v>236</v>
      </c>
      <c r="B191" s="11" t="s">
        <v>36</v>
      </c>
      <c r="C191" s="11" t="s">
        <v>37</v>
      </c>
      <c r="D191" s="11" t="n">
        <v>29</v>
      </c>
      <c r="E191" s="11" t="n">
        <v>2</v>
      </c>
      <c r="F191" s="12" t="n">
        <v>31600</v>
      </c>
      <c r="G191" s="11" t="n">
        <v>3</v>
      </c>
      <c r="H191" s="11" t="s">
        <v>43</v>
      </c>
      <c r="I191" s="11" t="s">
        <v>43</v>
      </c>
      <c r="J191" s="11" t="str">
        <f aca="false">IF(E191&lt;=2,"0-2 yrs",IF(E191&lt;=5,"3-5 yrs",IF(E191&lt;=10,"6-10 yrs","10+ yrs")))</f>
        <v>0-2 yrs</v>
      </c>
      <c r="K191" s="11" t="str">
        <f aca="false">IF(F191&lt;35000,"Low",IF(F191&lt;70000,"Medium","High"))</f>
        <v>Low</v>
      </c>
    </row>
    <row r="192" customFormat="false" ht="15" hidden="false" customHeight="false" outlineLevel="0" collapsed="false">
      <c r="A192" s="11" t="s">
        <v>237</v>
      </c>
      <c r="B192" s="11" t="s">
        <v>46</v>
      </c>
      <c r="C192" s="11" t="s">
        <v>37</v>
      </c>
      <c r="D192" s="11" t="n">
        <v>41</v>
      </c>
      <c r="E192" s="11" t="n">
        <v>5</v>
      </c>
      <c r="F192" s="12" t="n">
        <v>53900</v>
      </c>
      <c r="G192" s="11" t="n">
        <v>4</v>
      </c>
      <c r="H192" s="11" t="s">
        <v>38</v>
      </c>
      <c r="I192" s="11" t="s">
        <v>43</v>
      </c>
      <c r="J192" s="11" t="str">
        <f aca="false">IF(E192&lt;=2,"0-2 yrs",IF(E192&lt;=5,"3-5 yrs",IF(E192&lt;=10,"6-10 yrs","10+ yrs")))</f>
        <v>3-5 yrs</v>
      </c>
      <c r="K192" s="11" t="str">
        <f aca="false">IF(F192&lt;35000,"Low",IF(F192&lt;70000,"Medium","High"))</f>
        <v>Medium</v>
      </c>
    </row>
    <row r="193" customFormat="false" ht="15" hidden="false" customHeight="false" outlineLevel="0" collapsed="false">
      <c r="A193" s="11" t="s">
        <v>238</v>
      </c>
      <c r="B193" s="11" t="s">
        <v>51</v>
      </c>
      <c r="C193" s="11" t="s">
        <v>42</v>
      </c>
      <c r="D193" s="11" t="n">
        <v>34</v>
      </c>
      <c r="E193" s="11" t="n">
        <v>1</v>
      </c>
      <c r="F193" s="12" t="n">
        <v>68900</v>
      </c>
      <c r="G193" s="11" t="n">
        <v>3</v>
      </c>
      <c r="H193" s="11" t="s">
        <v>43</v>
      </c>
      <c r="I193" s="11" t="s">
        <v>43</v>
      </c>
      <c r="J193" s="11" t="str">
        <f aca="false">IF(E193&lt;=2,"0-2 yrs",IF(E193&lt;=5,"3-5 yrs",IF(E193&lt;=10,"6-10 yrs","10+ yrs")))</f>
        <v>0-2 yrs</v>
      </c>
      <c r="K193" s="11" t="str">
        <f aca="false">IF(F193&lt;35000,"Low",IF(F193&lt;70000,"Medium","High"))</f>
        <v>Medium</v>
      </c>
    </row>
    <row r="194" customFormat="false" ht="15" hidden="false" customHeight="false" outlineLevel="0" collapsed="false">
      <c r="A194" s="11" t="s">
        <v>239</v>
      </c>
      <c r="B194" s="11" t="s">
        <v>41</v>
      </c>
      <c r="C194" s="11" t="s">
        <v>37</v>
      </c>
      <c r="D194" s="11" t="n">
        <v>44</v>
      </c>
      <c r="E194" s="11" t="n">
        <v>12</v>
      </c>
      <c r="F194" s="12" t="n">
        <v>67900</v>
      </c>
      <c r="G194" s="11" t="n">
        <v>3</v>
      </c>
      <c r="H194" s="11" t="s">
        <v>38</v>
      </c>
      <c r="I194" s="11" t="s">
        <v>43</v>
      </c>
      <c r="J194" s="11" t="str">
        <f aca="false">IF(E194&lt;=2,"0-2 yrs",IF(E194&lt;=5,"3-5 yrs",IF(E194&lt;=10,"6-10 yrs","10+ yrs")))</f>
        <v>10+ yrs</v>
      </c>
      <c r="K194" s="11" t="str">
        <f aca="false">IF(F194&lt;35000,"Low",IF(F194&lt;70000,"Medium","High"))</f>
        <v>Medium</v>
      </c>
    </row>
    <row r="195" customFormat="false" ht="15" hidden="false" customHeight="false" outlineLevel="0" collapsed="false">
      <c r="A195" s="11" t="s">
        <v>240</v>
      </c>
      <c r="B195" s="11" t="s">
        <v>48</v>
      </c>
      <c r="C195" s="11" t="s">
        <v>37</v>
      </c>
      <c r="D195" s="11" t="n">
        <v>43</v>
      </c>
      <c r="E195" s="11" t="n">
        <v>13</v>
      </c>
      <c r="F195" s="12" t="n">
        <v>73800</v>
      </c>
      <c r="G195" s="11" t="n">
        <v>3</v>
      </c>
      <c r="H195" s="11" t="s">
        <v>38</v>
      </c>
      <c r="I195" s="11" t="s">
        <v>43</v>
      </c>
      <c r="J195" s="11" t="str">
        <f aca="false">IF(E195&lt;=2,"0-2 yrs",IF(E195&lt;=5,"3-5 yrs",IF(E195&lt;=10,"6-10 yrs","10+ yrs")))</f>
        <v>10+ yrs</v>
      </c>
      <c r="K195" s="11" t="str">
        <f aca="false">IF(F195&lt;35000,"Low",IF(F195&lt;70000,"Medium","High"))</f>
        <v>High</v>
      </c>
    </row>
    <row r="196" customFormat="false" ht="15" hidden="false" customHeight="false" outlineLevel="0" collapsed="false">
      <c r="A196" s="11" t="s">
        <v>241</v>
      </c>
      <c r="B196" s="11" t="s">
        <v>36</v>
      </c>
      <c r="C196" s="11" t="s">
        <v>37</v>
      </c>
      <c r="D196" s="11" t="n">
        <v>27</v>
      </c>
      <c r="E196" s="11" t="n">
        <v>7</v>
      </c>
      <c r="F196" s="12" t="n">
        <v>48200</v>
      </c>
      <c r="G196" s="11" t="n">
        <v>4</v>
      </c>
      <c r="H196" s="11" t="s">
        <v>43</v>
      </c>
      <c r="I196" s="11" t="s">
        <v>43</v>
      </c>
      <c r="J196" s="11" t="str">
        <f aca="false">IF(E196&lt;=2,"0-2 yrs",IF(E196&lt;=5,"3-5 yrs",IF(E196&lt;=10,"6-10 yrs","10+ yrs")))</f>
        <v>6-10 yrs</v>
      </c>
      <c r="K196" s="11" t="str">
        <f aca="false">IF(F196&lt;35000,"Low",IF(F196&lt;70000,"Medium","High"))</f>
        <v>Medium</v>
      </c>
    </row>
    <row r="197" customFormat="false" ht="15" hidden="false" customHeight="false" outlineLevel="0" collapsed="false">
      <c r="A197" s="11" t="s">
        <v>242</v>
      </c>
      <c r="B197" s="11" t="s">
        <v>48</v>
      </c>
      <c r="C197" s="11" t="s">
        <v>42</v>
      </c>
      <c r="D197" s="11" t="n">
        <v>37</v>
      </c>
      <c r="E197" s="11" t="n">
        <v>5</v>
      </c>
      <c r="F197" s="12" t="n">
        <v>55200</v>
      </c>
      <c r="G197" s="11" t="n">
        <v>2</v>
      </c>
      <c r="H197" s="11" t="s">
        <v>43</v>
      </c>
      <c r="I197" s="11" t="s">
        <v>43</v>
      </c>
      <c r="J197" s="11" t="str">
        <f aca="false">IF(E197&lt;=2,"0-2 yrs",IF(E197&lt;=5,"3-5 yrs",IF(E197&lt;=10,"6-10 yrs","10+ yrs")))</f>
        <v>3-5 yrs</v>
      </c>
      <c r="K197" s="11" t="str">
        <f aca="false">IF(F197&lt;35000,"Low",IF(F197&lt;70000,"Medium","High"))</f>
        <v>Medium</v>
      </c>
    </row>
    <row r="198" customFormat="false" ht="15" hidden="false" customHeight="false" outlineLevel="0" collapsed="false">
      <c r="A198" s="11" t="s">
        <v>243</v>
      </c>
      <c r="B198" s="11" t="s">
        <v>54</v>
      </c>
      <c r="C198" s="11" t="s">
        <v>42</v>
      </c>
      <c r="D198" s="11" t="n">
        <v>43</v>
      </c>
      <c r="E198" s="11" t="n">
        <v>10</v>
      </c>
      <c r="F198" s="12" t="n">
        <v>59900</v>
      </c>
      <c r="G198" s="11" t="n">
        <v>3</v>
      </c>
      <c r="H198" s="11" t="s">
        <v>43</v>
      </c>
      <c r="I198" s="11" t="s">
        <v>43</v>
      </c>
      <c r="J198" s="11" t="str">
        <f aca="false">IF(E198&lt;=2,"0-2 yrs",IF(E198&lt;=5,"3-5 yrs",IF(E198&lt;=10,"6-10 yrs","10+ yrs")))</f>
        <v>6-10 yrs</v>
      </c>
      <c r="K198" s="11" t="str">
        <f aca="false">IF(F198&lt;35000,"Low",IF(F198&lt;70000,"Medium","High"))</f>
        <v>Medium</v>
      </c>
    </row>
    <row r="199" customFormat="false" ht="15" hidden="false" customHeight="false" outlineLevel="0" collapsed="false">
      <c r="A199" s="11" t="s">
        <v>244</v>
      </c>
      <c r="B199" s="11" t="s">
        <v>48</v>
      </c>
      <c r="C199" s="11" t="s">
        <v>37</v>
      </c>
      <c r="D199" s="11" t="n">
        <v>22</v>
      </c>
      <c r="E199" s="11" t="n">
        <v>2</v>
      </c>
      <c r="F199" s="12" t="n">
        <v>51100</v>
      </c>
      <c r="G199" s="11" t="n">
        <v>4</v>
      </c>
      <c r="H199" s="11" t="s">
        <v>38</v>
      </c>
      <c r="I199" s="11" t="s">
        <v>38</v>
      </c>
      <c r="J199" s="11" t="str">
        <f aca="false">IF(E199&lt;=2,"0-2 yrs",IF(E199&lt;=5,"3-5 yrs",IF(E199&lt;=10,"6-10 yrs","10+ yrs")))</f>
        <v>0-2 yrs</v>
      </c>
      <c r="K199" s="11" t="str">
        <f aca="false">IF(F199&lt;35000,"Low",IF(F199&lt;70000,"Medium","High"))</f>
        <v>Medium</v>
      </c>
    </row>
    <row r="200" customFormat="false" ht="15" hidden="false" customHeight="false" outlineLevel="0" collapsed="false">
      <c r="A200" s="11" t="s">
        <v>245</v>
      </c>
      <c r="B200" s="11" t="s">
        <v>36</v>
      </c>
      <c r="C200" s="11" t="s">
        <v>37</v>
      </c>
      <c r="D200" s="11" t="n">
        <v>42</v>
      </c>
      <c r="E200" s="11" t="n">
        <v>14</v>
      </c>
      <c r="F200" s="12" t="n">
        <v>56200</v>
      </c>
      <c r="G200" s="11" t="n">
        <v>4</v>
      </c>
      <c r="H200" s="11" t="s">
        <v>43</v>
      </c>
      <c r="I200" s="11" t="s">
        <v>43</v>
      </c>
      <c r="J200" s="11" t="str">
        <f aca="false">IF(E200&lt;=2,"0-2 yrs",IF(E200&lt;=5,"3-5 yrs",IF(E200&lt;=10,"6-10 yrs","10+ yrs")))</f>
        <v>10+ yrs</v>
      </c>
      <c r="K200" s="11" t="str">
        <f aca="false">IF(F200&lt;35000,"Low",IF(F200&lt;70000,"Medium","High"))</f>
        <v>Medium</v>
      </c>
    </row>
    <row r="201" customFormat="false" ht="15" hidden="false" customHeight="false" outlineLevel="0" collapsed="false">
      <c r="A201" s="11" t="s">
        <v>246</v>
      </c>
      <c r="B201" s="11" t="s">
        <v>48</v>
      </c>
      <c r="C201" s="11" t="s">
        <v>42</v>
      </c>
      <c r="D201" s="11" t="n">
        <v>44</v>
      </c>
      <c r="E201" s="11" t="n">
        <v>1</v>
      </c>
      <c r="F201" s="12" t="n">
        <v>64600</v>
      </c>
      <c r="G201" s="11" t="n">
        <v>4</v>
      </c>
      <c r="H201" s="11" t="s">
        <v>38</v>
      </c>
      <c r="I201" s="11" t="s">
        <v>43</v>
      </c>
      <c r="J201" s="11" t="str">
        <f aca="false">IF(E201&lt;=2,"0-2 yrs",IF(E201&lt;=5,"3-5 yrs",IF(E201&lt;=10,"6-10 yrs","10+ yrs")))</f>
        <v>0-2 yrs</v>
      </c>
      <c r="K201" s="11" t="str">
        <f aca="false">IF(F201&lt;35000,"Low",IF(F201&lt;70000,"Medium","High"))</f>
        <v>Medium</v>
      </c>
    </row>
    <row r="202" customFormat="false" ht="15" hidden="false" customHeight="false" outlineLevel="0" collapsed="false">
      <c r="A202" s="11" t="s">
        <v>247</v>
      </c>
      <c r="B202" s="11" t="s">
        <v>51</v>
      </c>
      <c r="C202" s="11" t="s">
        <v>37</v>
      </c>
      <c r="D202" s="11" t="n">
        <v>45</v>
      </c>
      <c r="E202" s="11" t="n">
        <v>11</v>
      </c>
      <c r="F202" s="12" t="n">
        <v>78200</v>
      </c>
      <c r="G202" s="11" t="n">
        <v>3</v>
      </c>
      <c r="H202" s="11" t="s">
        <v>38</v>
      </c>
      <c r="I202" s="11" t="s">
        <v>43</v>
      </c>
      <c r="J202" s="11" t="str">
        <f aca="false">IF(E202&lt;=2,"0-2 yrs",IF(E202&lt;=5,"3-5 yrs",IF(E202&lt;=10,"6-10 yrs","10+ yrs")))</f>
        <v>10+ yrs</v>
      </c>
      <c r="K202" s="11" t="str">
        <f aca="false">IF(F202&lt;35000,"Low",IF(F202&lt;70000,"Medium","High"))</f>
        <v>High</v>
      </c>
    </row>
    <row r="203" customFormat="false" ht="15" hidden="false" customHeight="false" outlineLevel="0" collapsed="false">
      <c r="A203" s="11" t="s">
        <v>248</v>
      </c>
      <c r="B203" s="11" t="s">
        <v>41</v>
      </c>
      <c r="C203" s="11" t="s">
        <v>42</v>
      </c>
      <c r="D203" s="11" t="n">
        <v>36</v>
      </c>
      <c r="E203" s="11" t="n">
        <v>4</v>
      </c>
      <c r="F203" s="12" t="n">
        <v>51000</v>
      </c>
      <c r="G203" s="11" t="n">
        <v>3</v>
      </c>
      <c r="H203" s="11" t="s">
        <v>43</v>
      </c>
      <c r="I203" s="11" t="s">
        <v>43</v>
      </c>
      <c r="J203" s="11" t="str">
        <f aca="false">IF(E203&lt;=2,"0-2 yrs",IF(E203&lt;=5,"3-5 yrs",IF(E203&lt;=10,"6-10 yrs","10+ yrs")))</f>
        <v>3-5 yrs</v>
      </c>
      <c r="K203" s="11" t="str">
        <f aca="false">IF(F203&lt;35000,"Low",IF(F203&lt;70000,"Medium","High"))</f>
        <v>Medium</v>
      </c>
    </row>
    <row r="204" customFormat="false" ht="15" hidden="false" customHeight="false" outlineLevel="0" collapsed="false">
      <c r="A204" s="11" t="s">
        <v>249</v>
      </c>
      <c r="B204" s="11" t="s">
        <v>48</v>
      </c>
      <c r="C204" s="11" t="s">
        <v>37</v>
      </c>
      <c r="D204" s="11" t="n">
        <v>37</v>
      </c>
      <c r="E204" s="11" t="n">
        <v>10</v>
      </c>
      <c r="F204" s="12" t="n">
        <v>84500</v>
      </c>
      <c r="G204" s="11" t="n">
        <v>2</v>
      </c>
      <c r="H204" s="11" t="s">
        <v>43</v>
      </c>
      <c r="I204" s="11" t="s">
        <v>43</v>
      </c>
      <c r="J204" s="11" t="str">
        <f aca="false">IF(E204&lt;=2,"0-2 yrs",IF(E204&lt;=5,"3-5 yrs",IF(E204&lt;=10,"6-10 yrs","10+ yrs")))</f>
        <v>6-10 yrs</v>
      </c>
      <c r="K204" s="11" t="str">
        <f aca="false">IF(F204&lt;35000,"Low",IF(F204&lt;70000,"Medium","High"))</f>
        <v>High</v>
      </c>
    </row>
    <row r="205" customFormat="false" ht="15" hidden="false" customHeight="false" outlineLevel="0" collapsed="false">
      <c r="A205" s="11" t="s">
        <v>250</v>
      </c>
      <c r="B205" s="11" t="s">
        <v>46</v>
      </c>
      <c r="C205" s="11" t="s">
        <v>37</v>
      </c>
      <c r="D205" s="11" t="n">
        <v>24</v>
      </c>
      <c r="E205" s="11" t="n">
        <v>4</v>
      </c>
      <c r="F205" s="12" t="n">
        <v>48000</v>
      </c>
      <c r="G205" s="11" t="n">
        <v>3</v>
      </c>
      <c r="H205" s="11" t="s">
        <v>43</v>
      </c>
      <c r="I205" s="11" t="s">
        <v>43</v>
      </c>
      <c r="J205" s="11" t="str">
        <f aca="false">IF(E205&lt;=2,"0-2 yrs",IF(E205&lt;=5,"3-5 yrs",IF(E205&lt;=10,"6-10 yrs","10+ yrs")))</f>
        <v>3-5 yrs</v>
      </c>
      <c r="K205" s="11" t="str">
        <f aca="false">IF(F205&lt;35000,"Low",IF(F205&lt;70000,"Medium","High"))</f>
        <v>Medium</v>
      </c>
    </row>
    <row r="206" customFormat="false" ht="15" hidden="false" customHeight="false" outlineLevel="0" collapsed="false">
      <c r="A206" s="11" t="s">
        <v>251</v>
      </c>
      <c r="B206" s="11" t="s">
        <v>54</v>
      </c>
      <c r="C206" s="11" t="s">
        <v>42</v>
      </c>
      <c r="D206" s="11" t="n">
        <v>45</v>
      </c>
      <c r="E206" s="11" t="n">
        <v>13</v>
      </c>
      <c r="F206" s="12" t="n">
        <v>68100</v>
      </c>
      <c r="G206" s="11" t="n">
        <v>4</v>
      </c>
      <c r="H206" s="11" t="s">
        <v>38</v>
      </c>
      <c r="I206" s="11" t="s">
        <v>43</v>
      </c>
      <c r="J206" s="11" t="str">
        <f aca="false">IF(E206&lt;=2,"0-2 yrs",IF(E206&lt;=5,"3-5 yrs",IF(E206&lt;=10,"6-10 yrs","10+ yrs")))</f>
        <v>10+ yrs</v>
      </c>
      <c r="K206" s="11" t="str">
        <f aca="false">IF(F206&lt;35000,"Low",IF(F206&lt;70000,"Medium","High"))</f>
        <v>Medium</v>
      </c>
    </row>
    <row r="207" customFormat="false" ht="15" hidden="false" customHeight="false" outlineLevel="0" collapsed="false">
      <c r="A207" s="11" t="s">
        <v>252</v>
      </c>
      <c r="B207" s="11" t="s">
        <v>36</v>
      </c>
      <c r="C207" s="11" t="s">
        <v>42</v>
      </c>
      <c r="D207" s="11" t="n">
        <v>48</v>
      </c>
      <c r="E207" s="11" t="n">
        <v>1</v>
      </c>
      <c r="F207" s="12" t="n">
        <v>29000</v>
      </c>
      <c r="G207" s="11" t="n">
        <v>3</v>
      </c>
      <c r="H207" s="11" t="s">
        <v>43</v>
      </c>
      <c r="I207" s="11" t="s">
        <v>38</v>
      </c>
      <c r="J207" s="11" t="str">
        <f aca="false">IF(E207&lt;=2,"0-2 yrs",IF(E207&lt;=5,"3-5 yrs",IF(E207&lt;=10,"6-10 yrs","10+ yrs")))</f>
        <v>0-2 yrs</v>
      </c>
      <c r="K207" s="11" t="str">
        <f aca="false">IF(F207&lt;35000,"Low",IF(F207&lt;70000,"Medium","High"))</f>
        <v>Low</v>
      </c>
    </row>
    <row r="208" customFormat="false" ht="15" hidden="false" customHeight="false" outlineLevel="0" collapsed="false">
      <c r="A208" s="11" t="s">
        <v>253</v>
      </c>
      <c r="B208" s="11" t="s">
        <v>41</v>
      </c>
      <c r="C208" s="11" t="s">
        <v>37</v>
      </c>
      <c r="D208" s="11" t="n">
        <v>32</v>
      </c>
      <c r="E208" s="11" t="n">
        <v>4</v>
      </c>
      <c r="F208" s="12" t="n">
        <v>50600</v>
      </c>
      <c r="G208" s="11" t="n">
        <v>3</v>
      </c>
      <c r="H208" s="11" t="s">
        <v>43</v>
      </c>
      <c r="I208" s="11" t="s">
        <v>43</v>
      </c>
      <c r="J208" s="11" t="str">
        <f aca="false">IF(E208&lt;=2,"0-2 yrs",IF(E208&lt;=5,"3-5 yrs",IF(E208&lt;=10,"6-10 yrs","10+ yrs")))</f>
        <v>3-5 yrs</v>
      </c>
      <c r="K208" s="11" t="str">
        <f aca="false">IF(F208&lt;35000,"Low",IF(F208&lt;70000,"Medium","High"))</f>
        <v>Medium</v>
      </c>
    </row>
    <row r="209" customFormat="false" ht="15" hidden="false" customHeight="false" outlineLevel="0" collapsed="false">
      <c r="A209" s="11" t="s">
        <v>254</v>
      </c>
      <c r="B209" s="11" t="s">
        <v>51</v>
      </c>
      <c r="C209" s="11" t="s">
        <v>37</v>
      </c>
      <c r="D209" s="11" t="n">
        <v>29</v>
      </c>
      <c r="E209" s="11" t="n">
        <v>8</v>
      </c>
      <c r="F209" s="12" t="n">
        <v>91500</v>
      </c>
      <c r="G209" s="11" t="n">
        <v>3</v>
      </c>
      <c r="H209" s="11" t="s">
        <v>43</v>
      </c>
      <c r="I209" s="11" t="s">
        <v>43</v>
      </c>
      <c r="J209" s="11" t="str">
        <f aca="false">IF(E209&lt;=2,"0-2 yrs",IF(E209&lt;=5,"3-5 yrs",IF(E209&lt;=10,"6-10 yrs","10+ yrs")))</f>
        <v>6-10 yrs</v>
      </c>
      <c r="K209" s="11" t="str">
        <f aca="false">IF(F209&lt;35000,"Low",IF(F209&lt;70000,"Medium","High"))</f>
        <v>High</v>
      </c>
    </row>
    <row r="210" customFormat="false" ht="15" hidden="false" customHeight="false" outlineLevel="0" collapsed="false">
      <c r="A210" s="11" t="s">
        <v>255</v>
      </c>
      <c r="B210" s="11" t="s">
        <v>54</v>
      </c>
      <c r="C210" s="11" t="s">
        <v>42</v>
      </c>
      <c r="D210" s="11" t="n">
        <v>51</v>
      </c>
      <c r="E210" s="11" t="n">
        <v>0</v>
      </c>
      <c r="F210" s="12" t="n">
        <v>47300</v>
      </c>
      <c r="G210" s="11" t="n">
        <v>4</v>
      </c>
      <c r="H210" s="11" t="s">
        <v>43</v>
      </c>
      <c r="I210" s="11" t="s">
        <v>43</v>
      </c>
      <c r="J210" s="11" t="str">
        <f aca="false">IF(E210&lt;=2,"0-2 yrs",IF(E210&lt;=5,"3-5 yrs",IF(E210&lt;=10,"6-10 yrs","10+ yrs")))</f>
        <v>0-2 yrs</v>
      </c>
      <c r="K210" s="11" t="str">
        <f aca="false">IF(F210&lt;35000,"Low",IF(F210&lt;70000,"Medium","High"))</f>
        <v>Medium</v>
      </c>
    </row>
    <row r="211" customFormat="false" ht="15" hidden="false" customHeight="false" outlineLevel="0" collapsed="false">
      <c r="A211" s="11" t="s">
        <v>256</v>
      </c>
      <c r="B211" s="11" t="s">
        <v>51</v>
      </c>
      <c r="C211" s="11" t="s">
        <v>42</v>
      </c>
      <c r="D211" s="11" t="n">
        <v>48</v>
      </c>
      <c r="E211" s="11" t="n">
        <v>15</v>
      </c>
      <c r="F211" s="12" t="n">
        <v>83600</v>
      </c>
      <c r="G211" s="11" t="n">
        <v>2</v>
      </c>
      <c r="H211" s="11" t="s">
        <v>43</v>
      </c>
      <c r="I211" s="11" t="s">
        <v>43</v>
      </c>
      <c r="J211" s="11" t="str">
        <f aca="false">IF(E211&lt;=2,"0-2 yrs",IF(E211&lt;=5,"3-5 yrs",IF(E211&lt;=10,"6-10 yrs","10+ yrs")))</f>
        <v>10+ yrs</v>
      </c>
      <c r="K211" s="11" t="str">
        <f aca="false">IF(F211&lt;35000,"Low",IF(F211&lt;70000,"Medium","High"))</f>
        <v>High</v>
      </c>
    </row>
    <row r="212" customFormat="false" ht="15" hidden="false" customHeight="false" outlineLevel="0" collapsed="false">
      <c r="A212" s="11" t="s">
        <v>257</v>
      </c>
      <c r="B212" s="11" t="s">
        <v>48</v>
      </c>
      <c r="C212" s="11" t="s">
        <v>37</v>
      </c>
      <c r="D212" s="11" t="n">
        <v>26</v>
      </c>
      <c r="E212" s="11" t="n">
        <v>6</v>
      </c>
      <c r="F212" s="12" t="n">
        <v>73600</v>
      </c>
      <c r="G212" s="11" t="n">
        <v>3</v>
      </c>
      <c r="H212" s="11" t="s">
        <v>38</v>
      </c>
      <c r="I212" s="11" t="s">
        <v>43</v>
      </c>
      <c r="J212" s="11" t="str">
        <f aca="false">IF(E212&lt;=2,"0-2 yrs",IF(E212&lt;=5,"3-5 yrs",IF(E212&lt;=10,"6-10 yrs","10+ yrs")))</f>
        <v>6-10 yrs</v>
      </c>
      <c r="K212" s="11" t="str">
        <f aca="false">IF(F212&lt;35000,"Low",IF(F212&lt;70000,"Medium","High"))</f>
        <v>High</v>
      </c>
    </row>
    <row r="213" customFormat="false" ht="15" hidden="false" customHeight="false" outlineLevel="0" collapsed="false">
      <c r="A213" s="11" t="s">
        <v>258</v>
      </c>
      <c r="B213" s="11" t="s">
        <v>46</v>
      </c>
      <c r="C213" s="11" t="s">
        <v>37</v>
      </c>
      <c r="D213" s="11" t="n">
        <v>29</v>
      </c>
      <c r="E213" s="11" t="n">
        <v>9</v>
      </c>
      <c r="F213" s="12" t="n">
        <v>77100</v>
      </c>
      <c r="G213" s="11" t="n">
        <v>1</v>
      </c>
      <c r="H213" s="11" t="s">
        <v>38</v>
      </c>
      <c r="I213" s="11" t="s">
        <v>38</v>
      </c>
      <c r="J213" s="11" t="str">
        <f aca="false">IF(E213&lt;=2,"0-2 yrs",IF(E213&lt;=5,"3-5 yrs",IF(E213&lt;=10,"6-10 yrs","10+ yrs")))</f>
        <v>6-10 yrs</v>
      </c>
      <c r="K213" s="11" t="str">
        <f aca="false">IF(F213&lt;35000,"Low",IF(F213&lt;70000,"Medium","High"))</f>
        <v>High</v>
      </c>
    </row>
    <row r="214" customFormat="false" ht="15" hidden="false" customHeight="false" outlineLevel="0" collapsed="false">
      <c r="A214" s="11" t="s">
        <v>259</v>
      </c>
      <c r="B214" s="11" t="s">
        <v>46</v>
      </c>
      <c r="C214" s="11" t="s">
        <v>42</v>
      </c>
      <c r="D214" s="11" t="n">
        <v>47</v>
      </c>
      <c r="E214" s="11" t="n">
        <v>8</v>
      </c>
      <c r="F214" s="12" t="n">
        <v>65100</v>
      </c>
      <c r="G214" s="11" t="n">
        <v>3</v>
      </c>
      <c r="H214" s="11" t="s">
        <v>43</v>
      </c>
      <c r="I214" s="11" t="s">
        <v>43</v>
      </c>
      <c r="J214" s="11" t="str">
        <f aca="false">IF(E214&lt;=2,"0-2 yrs",IF(E214&lt;=5,"3-5 yrs",IF(E214&lt;=10,"6-10 yrs","10+ yrs")))</f>
        <v>6-10 yrs</v>
      </c>
      <c r="K214" s="11" t="str">
        <f aca="false">IF(F214&lt;35000,"Low",IF(F214&lt;70000,"Medium","High"))</f>
        <v>Medium</v>
      </c>
    </row>
    <row r="215" customFormat="false" ht="15" hidden="false" customHeight="false" outlineLevel="0" collapsed="false">
      <c r="A215" s="11" t="s">
        <v>260</v>
      </c>
      <c r="B215" s="11" t="s">
        <v>48</v>
      </c>
      <c r="C215" s="11" t="s">
        <v>37</v>
      </c>
      <c r="D215" s="11" t="n">
        <v>38</v>
      </c>
      <c r="E215" s="11" t="n">
        <v>14</v>
      </c>
      <c r="F215" s="12" t="n">
        <v>84600</v>
      </c>
      <c r="G215" s="11" t="n">
        <v>2</v>
      </c>
      <c r="H215" s="11" t="s">
        <v>43</v>
      </c>
      <c r="I215" s="11" t="s">
        <v>43</v>
      </c>
      <c r="J215" s="11" t="str">
        <f aca="false">IF(E215&lt;=2,"0-2 yrs",IF(E215&lt;=5,"3-5 yrs",IF(E215&lt;=10,"6-10 yrs","10+ yrs")))</f>
        <v>10+ yrs</v>
      </c>
      <c r="K215" s="11" t="str">
        <f aca="false">IF(F215&lt;35000,"Low",IF(F215&lt;70000,"Medium","High"))</f>
        <v>High</v>
      </c>
    </row>
    <row r="216" customFormat="false" ht="15" hidden="false" customHeight="false" outlineLevel="0" collapsed="false">
      <c r="A216" s="11" t="s">
        <v>261</v>
      </c>
      <c r="B216" s="11" t="s">
        <v>48</v>
      </c>
      <c r="C216" s="11" t="s">
        <v>37</v>
      </c>
      <c r="D216" s="11" t="n">
        <v>27</v>
      </c>
      <c r="E216" s="11" t="n">
        <v>7</v>
      </c>
      <c r="F216" s="12" t="n">
        <v>58100</v>
      </c>
      <c r="G216" s="11" t="n">
        <v>3</v>
      </c>
      <c r="H216" s="11" t="s">
        <v>43</v>
      </c>
      <c r="I216" s="11" t="s">
        <v>43</v>
      </c>
      <c r="J216" s="11" t="str">
        <f aca="false">IF(E216&lt;=2,"0-2 yrs",IF(E216&lt;=5,"3-5 yrs",IF(E216&lt;=10,"6-10 yrs","10+ yrs")))</f>
        <v>6-10 yrs</v>
      </c>
      <c r="K216" s="11" t="str">
        <f aca="false">IF(F216&lt;35000,"Low",IF(F216&lt;70000,"Medium","High"))</f>
        <v>Medium</v>
      </c>
    </row>
    <row r="217" customFormat="false" ht="15" hidden="false" customHeight="false" outlineLevel="0" collapsed="false">
      <c r="A217" s="11" t="s">
        <v>262</v>
      </c>
      <c r="B217" s="11" t="s">
        <v>51</v>
      </c>
      <c r="C217" s="11" t="s">
        <v>37</v>
      </c>
      <c r="D217" s="11" t="n">
        <v>29</v>
      </c>
      <c r="E217" s="11" t="n">
        <v>9</v>
      </c>
      <c r="F217" s="12" t="n">
        <v>93700</v>
      </c>
      <c r="G217" s="11" t="n">
        <v>4</v>
      </c>
      <c r="H217" s="11" t="s">
        <v>43</v>
      </c>
      <c r="I217" s="11" t="s">
        <v>38</v>
      </c>
      <c r="J217" s="11" t="str">
        <f aca="false">IF(E217&lt;=2,"0-2 yrs",IF(E217&lt;=5,"3-5 yrs",IF(E217&lt;=10,"6-10 yrs","10+ yrs")))</f>
        <v>6-10 yrs</v>
      </c>
      <c r="K217" s="11" t="str">
        <f aca="false">IF(F217&lt;35000,"Low",IF(F217&lt;70000,"Medium","High"))</f>
        <v>High</v>
      </c>
    </row>
    <row r="218" customFormat="false" ht="15" hidden="false" customHeight="false" outlineLevel="0" collapsed="false">
      <c r="A218" s="11" t="s">
        <v>263</v>
      </c>
      <c r="B218" s="11" t="s">
        <v>46</v>
      </c>
      <c r="C218" s="11" t="s">
        <v>37</v>
      </c>
      <c r="D218" s="11" t="n">
        <v>29</v>
      </c>
      <c r="E218" s="11" t="n">
        <v>7</v>
      </c>
      <c r="F218" s="12" t="n">
        <v>55400</v>
      </c>
      <c r="G218" s="11" t="n">
        <v>3</v>
      </c>
      <c r="H218" s="11" t="s">
        <v>43</v>
      </c>
      <c r="I218" s="11" t="s">
        <v>43</v>
      </c>
      <c r="J218" s="11" t="str">
        <f aca="false">IF(E218&lt;=2,"0-2 yrs",IF(E218&lt;=5,"3-5 yrs",IF(E218&lt;=10,"6-10 yrs","10+ yrs")))</f>
        <v>6-10 yrs</v>
      </c>
      <c r="K218" s="11" t="str">
        <f aca="false">IF(F218&lt;35000,"Low",IF(F218&lt;70000,"Medium","High"))</f>
        <v>Medium</v>
      </c>
    </row>
    <row r="219" customFormat="false" ht="15" hidden="false" customHeight="false" outlineLevel="0" collapsed="false">
      <c r="A219" s="11" t="s">
        <v>264</v>
      </c>
      <c r="B219" s="11" t="s">
        <v>41</v>
      </c>
      <c r="C219" s="11" t="s">
        <v>37</v>
      </c>
      <c r="D219" s="11" t="n">
        <v>31</v>
      </c>
      <c r="E219" s="11" t="n">
        <v>7</v>
      </c>
      <c r="F219" s="12" t="n">
        <v>58100</v>
      </c>
      <c r="G219" s="11" t="n">
        <v>3</v>
      </c>
      <c r="H219" s="11" t="s">
        <v>43</v>
      </c>
      <c r="I219" s="11" t="s">
        <v>43</v>
      </c>
      <c r="J219" s="11" t="str">
        <f aca="false">IF(E219&lt;=2,"0-2 yrs",IF(E219&lt;=5,"3-5 yrs",IF(E219&lt;=10,"6-10 yrs","10+ yrs")))</f>
        <v>6-10 yrs</v>
      </c>
      <c r="K219" s="11" t="str">
        <f aca="false">IF(F219&lt;35000,"Low",IF(F219&lt;70000,"Medium","High"))</f>
        <v>Medium</v>
      </c>
    </row>
    <row r="220" customFormat="false" ht="15" hidden="false" customHeight="false" outlineLevel="0" collapsed="false">
      <c r="A220" s="11" t="s">
        <v>265</v>
      </c>
      <c r="B220" s="11" t="s">
        <v>51</v>
      </c>
      <c r="C220" s="11" t="s">
        <v>37</v>
      </c>
      <c r="D220" s="11" t="n">
        <v>34</v>
      </c>
      <c r="E220" s="11" t="n">
        <v>5</v>
      </c>
      <c r="F220" s="12" t="n">
        <v>81200</v>
      </c>
      <c r="G220" s="11" t="n">
        <v>2</v>
      </c>
      <c r="H220" s="11" t="s">
        <v>43</v>
      </c>
      <c r="I220" s="11" t="s">
        <v>43</v>
      </c>
      <c r="J220" s="11" t="str">
        <f aca="false">IF(E220&lt;=2,"0-2 yrs",IF(E220&lt;=5,"3-5 yrs",IF(E220&lt;=10,"6-10 yrs","10+ yrs")))</f>
        <v>3-5 yrs</v>
      </c>
      <c r="K220" s="11" t="str">
        <f aca="false">IF(F220&lt;35000,"Low",IF(F220&lt;70000,"Medium","High"))</f>
        <v>High</v>
      </c>
    </row>
    <row r="221" customFormat="false" ht="15" hidden="false" customHeight="false" outlineLevel="0" collapsed="false">
      <c r="A221" s="11" t="s">
        <v>266</v>
      </c>
      <c r="B221" s="11" t="s">
        <v>54</v>
      </c>
      <c r="C221" s="11" t="s">
        <v>42</v>
      </c>
      <c r="D221" s="11" t="n">
        <v>56</v>
      </c>
      <c r="E221" s="11" t="n">
        <v>2</v>
      </c>
      <c r="F221" s="12" t="n">
        <v>57400</v>
      </c>
      <c r="G221" s="11" t="n">
        <v>1</v>
      </c>
      <c r="H221" s="11" t="s">
        <v>43</v>
      </c>
      <c r="I221" s="11" t="s">
        <v>43</v>
      </c>
      <c r="J221" s="11" t="str">
        <f aca="false">IF(E221&lt;=2,"0-2 yrs",IF(E221&lt;=5,"3-5 yrs",IF(E221&lt;=10,"6-10 yrs","10+ yrs")))</f>
        <v>0-2 yrs</v>
      </c>
      <c r="K221" s="11" t="str">
        <f aca="false">IF(F221&lt;35000,"Low",IF(F221&lt;70000,"Medium","High"))</f>
        <v>Medium</v>
      </c>
    </row>
    <row r="222" customFormat="false" ht="15" hidden="false" customHeight="false" outlineLevel="0" collapsed="false">
      <c r="A222" s="11" t="s">
        <v>267</v>
      </c>
      <c r="B222" s="11" t="s">
        <v>36</v>
      </c>
      <c r="C222" s="11" t="s">
        <v>42</v>
      </c>
      <c r="D222" s="11" t="n">
        <v>43</v>
      </c>
      <c r="E222" s="11" t="n">
        <v>5</v>
      </c>
      <c r="F222" s="12" t="n">
        <v>47700</v>
      </c>
      <c r="G222" s="11" t="n">
        <v>4</v>
      </c>
      <c r="H222" s="11" t="s">
        <v>43</v>
      </c>
      <c r="I222" s="11" t="s">
        <v>43</v>
      </c>
      <c r="J222" s="11" t="str">
        <f aca="false">IF(E222&lt;=2,"0-2 yrs",IF(E222&lt;=5,"3-5 yrs",IF(E222&lt;=10,"6-10 yrs","10+ yrs")))</f>
        <v>3-5 yrs</v>
      </c>
      <c r="K222" s="11" t="str">
        <f aca="false">IF(F222&lt;35000,"Low",IF(F222&lt;70000,"Medium","High"))</f>
        <v>Medium</v>
      </c>
    </row>
    <row r="223" customFormat="false" ht="15" hidden="false" customHeight="false" outlineLevel="0" collapsed="false">
      <c r="A223" s="11" t="s">
        <v>268</v>
      </c>
      <c r="B223" s="11" t="s">
        <v>51</v>
      </c>
      <c r="C223" s="11" t="s">
        <v>42</v>
      </c>
      <c r="D223" s="11" t="n">
        <v>26</v>
      </c>
      <c r="E223" s="11" t="n">
        <v>6</v>
      </c>
      <c r="F223" s="12" t="n">
        <v>77800</v>
      </c>
      <c r="G223" s="11" t="n">
        <v>3</v>
      </c>
      <c r="H223" s="11" t="s">
        <v>43</v>
      </c>
      <c r="I223" s="11" t="s">
        <v>43</v>
      </c>
      <c r="J223" s="11" t="str">
        <f aca="false">IF(E223&lt;=2,"0-2 yrs",IF(E223&lt;=5,"3-5 yrs",IF(E223&lt;=10,"6-10 yrs","10+ yrs")))</f>
        <v>6-10 yrs</v>
      </c>
      <c r="K223" s="11" t="str">
        <f aca="false">IF(F223&lt;35000,"Low",IF(F223&lt;70000,"Medium","High"))</f>
        <v>High</v>
      </c>
    </row>
    <row r="224" customFormat="false" ht="15" hidden="false" customHeight="false" outlineLevel="0" collapsed="false">
      <c r="A224" s="11" t="s">
        <v>269</v>
      </c>
      <c r="B224" s="11" t="s">
        <v>36</v>
      </c>
      <c r="C224" s="11" t="s">
        <v>37</v>
      </c>
      <c r="D224" s="11" t="n">
        <v>34</v>
      </c>
      <c r="E224" s="11" t="n">
        <v>12</v>
      </c>
      <c r="F224" s="12" t="n">
        <v>51200</v>
      </c>
      <c r="G224" s="11" t="n">
        <v>2</v>
      </c>
      <c r="H224" s="11" t="s">
        <v>43</v>
      </c>
      <c r="I224" s="11" t="s">
        <v>43</v>
      </c>
      <c r="J224" s="11" t="str">
        <f aca="false">IF(E224&lt;=2,"0-2 yrs",IF(E224&lt;=5,"3-5 yrs",IF(E224&lt;=10,"6-10 yrs","10+ yrs")))</f>
        <v>10+ yrs</v>
      </c>
      <c r="K224" s="11" t="str">
        <f aca="false">IF(F224&lt;35000,"Low",IF(F224&lt;70000,"Medium","High"))</f>
        <v>Medium</v>
      </c>
    </row>
    <row r="225" customFormat="false" ht="15" hidden="false" customHeight="false" outlineLevel="0" collapsed="false">
      <c r="A225" s="11" t="s">
        <v>270</v>
      </c>
      <c r="B225" s="11" t="s">
        <v>36</v>
      </c>
      <c r="C225" s="11" t="s">
        <v>42</v>
      </c>
      <c r="D225" s="11" t="n">
        <v>56</v>
      </c>
      <c r="E225" s="11" t="n">
        <v>10</v>
      </c>
      <c r="F225" s="12" t="n">
        <v>71100</v>
      </c>
      <c r="G225" s="11" t="n">
        <v>3</v>
      </c>
      <c r="H225" s="11" t="s">
        <v>43</v>
      </c>
      <c r="I225" s="11" t="s">
        <v>43</v>
      </c>
      <c r="J225" s="11" t="str">
        <f aca="false">IF(E225&lt;=2,"0-2 yrs",IF(E225&lt;=5,"3-5 yrs",IF(E225&lt;=10,"6-10 yrs","10+ yrs")))</f>
        <v>6-10 yrs</v>
      </c>
      <c r="K225" s="11" t="str">
        <f aca="false">IF(F225&lt;35000,"Low",IF(F225&lt;70000,"Medium","High"))</f>
        <v>High</v>
      </c>
    </row>
    <row r="226" customFormat="false" ht="15" hidden="false" customHeight="false" outlineLevel="0" collapsed="false">
      <c r="A226" s="11" t="s">
        <v>271</v>
      </c>
      <c r="B226" s="11" t="s">
        <v>48</v>
      </c>
      <c r="C226" s="11" t="s">
        <v>42</v>
      </c>
      <c r="D226" s="11" t="n">
        <v>55</v>
      </c>
      <c r="E226" s="11" t="n">
        <v>4</v>
      </c>
      <c r="F226" s="12" t="n">
        <v>68700</v>
      </c>
      <c r="G226" s="11" t="n">
        <v>3</v>
      </c>
      <c r="H226" s="11" t="s">
        <v>43</v>
      </c>
      <c r="I226" s="11" t="s">
        <v>43</v>
      </c>
      <c r="J226" s="11" t="str">
        <f aca="false">IF(E226&lt;=2,"0-2 yrs",IF(E226&lt;=5,"3-5 yrs",IF(E226&lt;=10,"6-10 yrs","10+ yrs")))</f>
        <v>3-5 yrs</v>
      </c>
      <c r="K226" s="11" t="str">
        <f aca="false">IF(F226&lt;35000,"Low",IF(F226&lt;70000,"Medium","High"))</f>
        <v>Medium</v>
      </c>
    </row>
    <row r="227" customFormat="false" ht="15" hidden="false" customHeight="false" outlineLevel="0" collapsed="false">
      <c r="A227" s="11" t="s">
        <v>272</v>
      </c>
      <c r="B227" s="11" t="s">
        <v>41</v>
      </c>
      <c r="C227" s="11" t="s">
        <v>42</v>
      </c>
      <c r="D227" s="11" t="n">
        <v>48</v>
      </c>
      <c r="E227" s="11" t="n">
        <v>2</v>
      </c>
      <c r="F227" s="12" t="n">
        <v>61800</v>
      </c>
      <c r="G227" s="11" t="n">
        <v>4</v>
      </c>
      <c r="H227" s="11" t="s">
        <v>38</v>
      </c>
      <c r="I227" s="11" t="s">
        <v>38</v>
      </c>
      <c r="J227" s="11" t="str">
        <f aca="false">IF(E227&lt;=2,"0-2 yrs",IF(E227&lt;=5,"3-5 yrs",IF(E227&lt;=10,"6-10 yrs","10+ yrs")))</f>
        <v>0-2 yrs</v>
      </c>
      <c r="K227" s="11" t="str">
        <f aca="false">IF(F227&lt;35000,"Low",IF(F227&lt;70000,"Medium","High"))</f>
        <v>Medium</v>
      </c>
    </row>
    <row r="228" customFormat="false" ht="15" hidden="false" customHeight="false" outlineLevel="0" collapsed="false">
      <c r="A228" s="11" t="s">
        <v>273</v>
      </c>
      <c r="B228" s="11" t="s">
        <v>41</v>
      </c>
      <c r="C228" s="11" t="s">
        <v>42</v>
      </c>
      <c r="D228" s="11" t="n">
        <v>34</v>
      </c>
      <c r="E228" s="11" t="n">
        <v>4</v>
      </c>
      <c r="F228" s="12" t="n">
        <v>46100</v>
      </c>
      <c r="G228" s="11" t="n">
        <v>2</v>
      </c>
      <c r="H228" s="11" t="s">
        <v>43</v>
      </c>
      <c r="I228" s="11" t="s">
        <v>43</v>
      </c>
      <c r="J228" s="11" t="str">
        <f aca="false">IF(E228&lt;=2,"0-2 yrs",IF(E228&lt;=5,"3-5 yrs",IF(E228&lt;=10,"6-10 yrs","10+ yrs")))</f>
        <v>3-5 yrs</v>
      </c>
      <c r="K228" s="11" t="str">
        <f aca="false">IF(F228&lt;35000,"Low",IF(F228&lt;70000,"Medium","High"))</f>
        <v>Medium</v>
      </c>
    </row>
    <row r="229" customFormat="false" ht="15" hidden="false" customHeight="false" outlineLevel="0" collapsed="false">
      <c r="A229" s="11" t="s">
        <v>274</v>
      </c>
      <c r="B229" s="11" t="s">
        <v>36</v>
      </c>
      <c r="C229" s="11" t="s">
        <v>42</v>
      </c>
      <c r="D229" s="11" t="n">
        <v>43</v>
      </c>
      <c r="E229" s="11" t="n">
        <v>11</v>
      </c>
      <c r="F229" s="12" t="n">
        <v>50200</v>
      </c>
      <c r="G229" s="11" t="n">
        <v>3</v>
      </c>
      <c r="H229" s="11" t="s">
        <v>43</v>
      </c>
      <c r="I229" s="11" t="s">
        <v>43</v>
      </c>
      <c r="J229" s="11" t="str">
        <f aca="false">IF(E229&lt;=2,"0-2 yrs",IF(E229&lt;=5,"3-5 yrs",IF(E229&lt;=10,"6-10 yrs","10+ yrs")))</f>
        <v>10+ yrs</v>
      </c>
      <c r="K229" s="11" t="str">
        <f aca="false">IF(F229&lt;35000,"Low",IF(F229&lt;70000,"Medium","High"))</f>
        <v>Medium</v>
      </c>
    </row>
    <row r="230" customFormat="false" ht="15" hidden="false" customHeight="false" outlineLevel="0" collapsed="false">
      <c r="A230" s="11" t="s">
        <v>275</v>
      </c>
      <c r="B230" s="11" t="s">
        <v>51</v>
      </c>
      <c r="C230" s="11" t="s">
        <v>42</v>
      </c>
      <c r="D230" s="11" t="n">
        <v>37</v>
      </c>
      <c r="E230" s="11" t="n">
        <v>13</v>
      </c>
      <c r="F230" s="12" t="n">
        <v>97400</v>
      </c>
      <c r="G230" s="11" t="n">
        <v>3</v>
      </c>
      <c r="H230" s="11" t="s">
        <v>43</v>
      </c>
      <c r="I230" s="11" t="s">
        <v>38</v>
      </c>
      <c r="J230" s="11" t="str">
        <f aca="false">IF(E230&lt;=2,"0-2 yrs",IF(E230&lt;=5,"3-5 yrs",IF(E230&lt;=10,"6-10 yrs","10+ yrs")))</f>
        <v>10+ yrs</v>
      </c>
      <c r="K230" s="11" t="str">
        <f aca="false">IF(F230&lt;35000,"Low",IF(F230&lt;70000,"Medium","High"))</f>
        <v>High</v>
      </c>
    </row>
    <row r="231" customFormat="false" ht="15" hidden="false" customHeight="false" outlineLevel="0" collapsed="false">
      <c r="A231" s="11" t="s">
        <v>276</v>
      </c>
      <c r="B231" s="11" t="s">
        <v>46</v>
      </c>
      <c r="C231" s="11" t="s">
        <v>37</v>
      </c>
      <c r="D231" s="11" t="n">
        <v>42</v>
      </c>
      <c r="E231" s="11" t="n">
        <v>12</v>
      </c>
      <c r="F231" s="12" t="n">
        <v>62300</v>
      </c>
      <c r="G231" s="11" t="n">
        <v>3</v>
      </c>
      <c r="H231" s="11" t="s">
        <v>43</v>
      </c>
      <c r="I231" s="11" t="s">
        <v>43</v>
      </c>
      <c r="J231" s="11" t="str">
        <f aca="false">IF(E231&lt;=2,"0-2 yrs",IF(E231&lt;=5,"3-5 yrs",IF(E231&lt;=10,"6-10 yrs","10+ yrs")))</f>
        <v>10+ yrs</v>
      </c>
      <c r="K231" s="11" t="str">
        <f aca="false">IF(F231&lt;35000,"Low",IF(F231&lt;70000,"Medium","High"))</f>
        <v>Medium</v>
      </c>
    </row>
    <row r="232" customFormat="false" ht="15" hidden="false" customHeight="false" outlineLevel="0" collapsed="false">
      <c r="A232" s="11" t="s">
        <v>277</v>
      </c>
      <c r="B232" s="11" t="s">
        <v>36</v>
      </c>
      <c r="C232" s="11" t="s">
        <v>42</v>
      </c>
      <c r="D232" s="11" t="n">
        <v>48</v>
      </c>
      <c r="E232" s="11" t="n">
        <v>12</v>
      </c>
      <c r="F232" s="12" t="n">
        <v>63200</v>
      </c>
      <c r="G232" s="11" t="n">
        <v>4</v>
      </c>
      <c r="H232" s="11" t="s">
        <v>43</v>
      </c>
      <c r="I232" s="11" t="s">
        <v>43</v>
      </c>
      <c r="J232" s="11" t="str">
        <f aca="false">IF(E232&lt;=2,"0-2 yrs",IF(E232&lt;=5,"3-5 yrs",IF(E232&lt;=10,"6-10 yrs","10+ yrs")))</f>
        <v>10+ yrs</v>
      </c>
      <c r="K232" s="11" t="str">
        <f aca="false">IF(F232&lt;35000,"Low",IF(F232&lt;70000,"Medium","High"))</f>
        <v>Medium</v>
      </c>
    </row>
    <row r="233" customFormat="false" ht="15" hidden="false" customHeight="false" outlineLevel="0" collapsed="false">
      <c r="A233" s="11" t="s">
        <v>278</v>
      </c>
      <c r="B233" s="11" t="s">
        <v>46</v>
      </c>
      <c r="C233" s="11" t="s">
        <v>37</v>
      </c>
      <c r="D233" s="11" t="n">
        <v>37</v>
      </c>
      <c r="E233" s="11" t="n">
        <v>7</v>
      </c>
      <c r="F233" s="12" t="n">
        <v>42700</v>
      </c>
      <c r="G233" s="11" t="n">
        <v>4</v>
      </c>
      <c r="H233" s="11" t="s">
        <v>43</v>
      </c>
      <c r="I233" s="11" t="s">
        <v>43</v>
      </c>
      <c r="J233" s="11" t="str">
        <f aca="false">IF(E233&lt;=2,"0-2 yrs",IF(E233&lt;=5,"3-5 yrs",IF(E233&lt;=10,"6-10 yrs","10+ yrs")))</f>
        <v>6-10 yrs</v>
      </c>
      <c r="K233" s="11" t="str">
        <f aca="false">IF(F233&lt;35000,"Low",IF(F233&lt;70000,"Medium","High"))</f>
        <v>Medium</v>
      </c>
    </row>
    <row r="234" customFormat="false" ht="15" hidden="false" customHeight="false" outlineLevel="0" collapsed="false">
      <c r="A234" s="11" t="s">
        <v>279</v>
      </c>
      <c r="B234" s="11" t="s">
        <v>36</v>
      </c>
      <c r="C234" s="11" t="s">
        <v>37</v>
      </c>
      <c r="D234" s="11" t="n">
        <v>53</v>
      </c>
      <c r="E234" s="11" t="n">
        <v>6</v>
      </c>
      <c r="F234" s="12" t="n">
        <v>56300</v>
      </c>
      <c r="G234" s="11" t="n">
        <v>3</v>
      </c>
      <c r="H234" s="11" t="s">
        <v>38</v>
      </c>
      <c r="I234" s="11" t="s">
        <v>43</v>
      </c>
      <c r="J234" s="11" t="str">
        <f aca="false">IF(E234&lt;=2,"0-2 yrs",IF(E234&lt;=5,"3-5 yrs",IF(E234&lt;=10,"6-10 yrs","10+ yrs")))</f>
        <v>6-10 yrs</v>
      </c>
      <c r="K234" s="11" t="str">
        <f aca="false">IF(F234&lt;35000,"Low",IF(F234&lt;70000,"Medium","High"))</f>
        <v>Medium</v>
      </c>
    </row>
    <row r="235" customFormat="false" ht="15" hidden="false" customHeight="false" outlineLevel="0" collapsed="false">
      <c r="A235" s="11" t="s">
        <v>280</v>
      </c>
      <c r="B235" s="11" t="s">
        <v>41</v>
      </c>
      <c r="C235" s="11" t="s">
        <v>42</v>
      </c>
      <c r="D235" s="11" t="n">
        <v>47</v>
      </c>
      <c r="E235" s="11" t="n">
        <v>11</v>
      </c>
      <c r="F235" s="12" t="n">
        <v>58300</v>
      </c>
      <c r="G235" s="11" t="n">
        <v>4</v>
      </c>
      <c r="H235" s="11" t="s">
        <v>43</v>
      </c>
      <c r="I235" s="11" t="s">
        <v>43</v>
      </c>
      <c r="J235" s="11" t="str">
        <f aca="false">IF(E235&lt;=2,"0-2 yrs",IF(E235&lt;=5,"3-5 yrs",IF(E235&lt;=10,"6-10 yrs","10+ yrs")))</f>
        <v>10+ yrs</v>
      </c>
      <c r="K235" s="11" t="str">
        <f aca="false">IF(F235&lt;35000,"Low",IF(F235&lt;70000,"Medium","High"))</f>
        <v>Medium</v>
      </c>
    </row>
    <row r="236" customFormat="false" ht="15" hidden="false" customHeight="false" outlineLevel="0" collapsed="false">
      <c r="A236" s="11" t="s">
        <v>281</v>
      </c>
      <c r="B236" s="11" t="s">
        <v>41</v>
      </c>
      <c r="C236" s="11" t="s">
        <v>42</v>
      </c>
      <c r="D236" s="11" t="n">
        <v>24</v>
      </c>
      <c r="E236" s="11" t="n">
        <v>4</v>
      </c>
      <c r="F236" s="12" t="n">
        <v>60800</v>
      </c>
      <c r="G236" s="11" t="n">
        <v>2</v>
      </c>
      <c r="H236" s="11" t="s">
        <v>38</v>
      </c>
      <c r="I236" s="11" t="s">
        <v>38</v>
      </c>
      <c r="J236" s="11" t="str">
        <f aca="false">IF(E236&lt;=2,"0-2 yrs",IF(E236&lt;=5,"3-5 yrs",IF(E236&lt;=10,"6-10 yrs","10+ yrs")))</f>
        <v>3-5 yrs</v>
      </c>
      <c r="K236" s="11" t="str">
        <f aca="false">IF(F236&lt;35000,"Low",IF(F236&lt;70000,"Medium","High"))</f>
        <v>Medium</v>
      </c>
    </row>
    <row r="237" customFormat="false" ht="15" hidden="false" customHeight="false" outlineLevel="0" collapsed="false">
      <c r="A237" s="11" t="s">
        <v>282</v>
      </c>
      <c r="B237" s="11" t="s">
        <v>41</v>
      </c>
      <c r="C237" s="11" t="s">
        <v>37</v>
      </c>
      <c r="D237" s="11" t="n">
        <v>57</v>
      </c>
      <c r="E237" s="11" t="n">
        <v>15</v>
      </c>
      <c r="F237" s="12" t="n">
        <v>78100</v>
      </c>
      <c r="G237" s="11" t="n">
        <v>4</v>
      </c>
      <c r="H237" s="11" t="s">
        <v>43</v>
      </c>
      <c r="I237" s="11" t="s">
        <v>43</v>
      </c>
      <c r="J237" s="11" t="str">
        <f aca="false">IF(E237&lt;=2,"0-2 yrs",IF(E237&lt;=5,"3-5 yrs",IF(E237&lt;=10,"6-10 yrs","10+ yrs")))</f>
        <v>10+ yrs</v>
      </c>
      <c r="K237" s="11" t="str">
        <f aca="false">IF(F237&lt;35000,"Low",IF(F237&lt;70000,"Medium","High"))</f>
        <v>High</v>
      </c>
    </row>
    <row r="238" customFormat="false" ht="15" hidden="false" customHeight="false" outlineLevel="0" collapsed="false">
      <c r="A238" s="11" t="s">
        <v>283</v>
      </c>
      <c r="B238" s="11" t="s">
        <v>36</v>
      </c>
      <c r="C238" s="11" t="s">
        <v>37</v>
      </c>
      <c r="D238" s="11" t="n">
        <v>52</v>
      </c>
      <c r="E238" s="11" t="n">
        <v>13</v>
      </c>
      <c r="F238" s="12" t="n">
        <v>62800</v>
      </c>
      <c r="G238" s="11" t="n">
        <v>3</v>
      </c>
      <c r="H238" s="11" t="s">
        <v>43</v>
      </c>
      <c r="I238" s="11" t="s">
        <v>38</v>
      </c>
      <c r="J238" s="11" t="str">
        <f aca="false">IF(E238&lt;=2,"0-2 yrs",IF(E238&lt;=5,"3-5 yrs",IF(E238&lt;=10,"6-10 yrs","10+ yrs")))</f>
        <v>10+ yrs</v>
      </c>
      <c r="K238" s="11" t="str">
        <f aca="false">IF(F238&lt;35000,"Low",IF(F238&lt;70000,"Medium","High"))</f>
        <v>Medium</v>
      </c>
    </row>
    <row r="239" customFormat="false" ht="15" hidden="false" customHeight="false" outlineLevel="0" collapsed="false">
      <c r="A239" s="11" t="s">
        <v>284</v>
      </c>
      <c r="B239" s="11" t="s">
        <v>36</v>
      </c>
      <c r="C239" s="11" t="s">
        <v>37</v>
      </c>
      <c r="D239" s="11" t="n">
        <v>53</v>
      </c>
      <c r="E239" s="11" t="n">
        <v>13</v>
      </c>
      <c r="F239" s="12" t="n">
        <v>56500</v>
      </c>
      <c r="G239" s="11" t="n">
        <v>2</v>
      </c>
      <c r="H239" s="11" t="s">
        <v>43</v>
      </c>
      <c r="I239" s="11" t="s">
        <v>43</v>
      </c>
      <c r="J239" s="11" t="str">
        <f aca="false">IF(E239&lt;=2,"0-2 yrs",IF(E239&lt;=5,"3-5 yrs",IF(E239&lt;=10,"6-10 yrs","10+ yrs")))</f>
        <v>10+ yrs</v>
      </c>
      <c r="K239" s="11" t="str">
        <f aca="false">IF(F239&lt;35000,"Low",IF(F239&lt;70000,"Medium","High"))</f>
        <v>Medium</v>
      </c>
    </row>
    <row r="240" customFormat="false" ht="15" hidden="false" customHeight="false" outlineLevel="0" collapsed="false">
      <c r="A240" s="11" t="s">
        <v>285</v>
      </c>
      <c r="B240" s="11" t="s">
        <v>41</v>
      </c>
      <c r="C240" s="11" t="s">
        <v>37</v>
      </c>
      <c r="D240" s="11" t="n">
        <v>54</v>
      </c>
      <c r="E240" s="11" t="n">
        <v>0</v>
      </c>
      <c r="F240" s="12" t="n">
        <v>50500</v>
      </c>
      <c r="G240" s="11" t="n">
        <v>2</v>
      </c>
      <c r="H240" s="11" t="s">
        <v>43</v>
      </c>
      <c r="I240" s="11" t="s">
        <v>43</v>
      </c>
      <c r="J240" s="11" t="str">
        <f aca="false">IF(E240&lt;=2,"0-2 yrs",IF(E240&lt;=5,"3-5 yrs",IF(E240&lt;=10,"6-10 yrs","10+ yrs")))</f>
        <v>0-2 yrs</v>
      </c>
      <c r="K240" s="11" t="str">
        <f aca="false">IF(F240&lt;35000,"Low",IF(F240&lt;70000,"Medium","High"))</f>
        <v>Medium</v>
      </c>
    </row>
    <row r="241" customFormat="false" ht="15" hidden="false" customHeight="false" outlineLevel="0" collapsed="false">
      <c r="A241" s="11" t="s">
        <v>286</v>
      </c>
      <c r="B241" s="11" t="s">
        <v>41</v>
      </c>
      <c r="C241" s="11" t="s">
        <v>37</v>
      </c>
      <c r="D241" s="11" t="n">
        <v>23</v>
      </c>
      <c r="E241" s="11" t="n">
        <v>3</v>
      </c>
      <c r="F241" s="12" t="n">
        <v>46600</v>
      </c>
      <c r="G241" s="11" t="n">
        <v>2</v>
      </c>
      <c r="H241" s="11" t="s">
        <v>43</v>
      </c>
      <c r="I241" s="11" t="s">
        <v>43</v>
      </c>
      <c r="J241" s="11" t="str">
        <f aca="false">IF(E241&lt;=2,"0-2 yrs",IF(E241&lt;=5,"3-5 yrs",IF(E241&lt;=10,"6-10 yrs","10+ yrs")))</f>
        <v>3-5 yrs</v>
      </c>
      <c r="K241" s="11" t="str">
        <f aca="false">IF(F241&lt;35000,"Low",IF(F241&lt;70000,"Medium","High"))</f>
        <v>Medium</v>
      </c>
    </row>
    <row r="242" customFormat="false" ht="15" hidden="false" customHeight="false" outlineLevel="0" collapsed="false">
      <c r="A242" s="11" t="s">
        <v>287</v>
      </c>
      <c r="B242" s="11" t="s">
        <v>51</v>
      </c>
      <c r="C242" s="11" t="s">
        <v>37</v>
      </c>
      <c r="D242" s="11" t="n">
        <v>56</v>
      </c>
      <c r="E242" s="11" t="n">
        <v>15</v>
      </c>
      <c r="F242" s="12" t="n">
        <v>116400</v>
      </c>
      <c r="G242" s="11" t="n">
        <v>3</v>
      </c>
      <c r="H242" s="11" t="s">
        <v>43</v>
      </c>
      <c r="I242" s="11" t="s">
        <v>43</v>
      </c>
      <c r="J242" s="11" t="str">
        <f aca="false">IF(E242&lt;=2,"0-2 yrs",IF(E242&lt;=5,"3-5 yrs",IF(E242&lt;=10,"6-10 yrs","10+ yrs")))</f>
        <v>10+ yrs</v>
      </c>
      <c r="K242" s="11" t="str">
        <f aca="false">IF(F242&lt;35000,"Low",IF(F242&lt;70000,"Medium","High"))</f>
        <v>High</v>
      </c>
    </row>
    <row r="243" customFormat="false" ht="15" hidden="false" customHeight="false" outlineLevel="0" collapsed="false">
      <c r="A243" s="11" t="s">
        <v>288</v>
      </c>
      <c r="B243" s="11" t="s">
        <v>48</v>
      </c>
      <c r="C243" s="11" t="s">
        <v>42</v>
      </c>
      <c r="D243" s="11" t="n">
        <v>24</v>
      </c>
      <c r="E243" s="11" t="n">
        <v>4</v>
      </c>
      <c r="F243" s="12" t="n">
        <v>79300</v>
      </c>
      <c r="G243" s="11" t="n">
        <v>1</v>
      </c>
      <c r="H243" s="11" t="s">
        <v>38</v>
      </c>
      <c r="I243" s="11" t="s">
        <v>43</v>
      </c>
      <c r="J243" s="11" t="str">
        <f aca="false">IF(E243&lt;=2,"0-2 yrs",IF(E243&lt;=5,"3-5 yrs",IF(E243&lt;=10,"6-10 yrs","10+ yrs")))</f>
        <v>3-5 yrs</v>
      </c>
      <c r="K243" s="11" t="str">
        <f aca="false">IF(F243&lt;35000,"Low",IF(F243&lt;70000,"Medium","High"))</f>
        <v>High</v>
      </c>
    </row>
    <row r="244" customFormat="false" ht="15" hidden="false" customHeight="false" outlineLevel="0" collapsed="false">
      <c r="A244" s="11" t="s">
        <v>289</v>
      </c>
      <c r="B244" s="11" t="s">
        <v>51</v>
      </c>
      <c r="C244" s="11" t="s">
        <v>37</v>
      </c>
      <c r="D244" s="11" t="n">
        <v>29</v>
      </c>
      <c r="E244" s="11" t="n">
        <v>7</v>
      </c>
      <c r="F244" s="12" t="n">
        <v>91100</v>
      </c>
      <c r="G244" s="11" t="n">
        <v>4</v>
      </c>
      <c r="H244" s="11" t="s">
        <v>43</v>
      </c>
      <c r="I244" s="11" t="s">
        <v>43</v>
      </c>
      <c r="J244" s="11" t="str">
        <f aca="false">IF(E244&lt;=2,"0-2 yrs",IF(E244&lt;=5,"3-5 yrs",IF(E244&lt;=10,"6-10 yrs","10+ yrs")))</f>
        <v>6-10 yrs</v>
      </c>
      <c r="K244" s="11" t="str">
        <f aca="false">IF(F244&lt;35000,"Low",IF(F244&lt;70000,"Medium","High"))</f>
        <v>High</v>
      </c>
    </row>
    <row r="245" customFormat="false" ht="15" hidden="false" customHeight="false" outlineLevel="0" collapsed="false">
      <c r="A245" s="11" t="s">
        <v>290</v>
      </c>
      <c r="B245" s="11" t="s">
        <v>51</v>
      </c>
      <c r="C245" s="11" t="s">
        <v>37</v>
      </c>
      <c r="D245" s="11" t="n">
        <v>56</v>
      </c>
      <c r="E245" s="11" t="n">
        <v>11</v>
      </c>
      <c r="F245" s="12" t="n">
        <v>79900</v>
      </c>
      <c r="G245" s="11" t="n">
        <v>4</v>
      </c>
      <c r="H245" s="11" t="s">
        <v>43</v>
      </c>
      <c r="I245" s="11" t="s">
        <v>43</v>
      </c>
      <c r="J245" s="11" t="str">
        <f aca="false">IF(E245&lt;=2,"0-2 yrs",IF(E245&lt;=5,"3-5 yrs",IF(E245&lt;=10,"6-10 yrs","10+ yrs")))</f>
        <v>10+ yrs</v>
      </c>
      <c r="K245" s="11" t="str">
        <f aca="false">IF(F245&lt;35000,"Low",IF(F245&lt;70000,"Medium","High"))</f>
        <v>High</v>
      </c>
    </row>
    <row r="246" customFormat="false" ht="15" hidden="false" customHeight="false" outlineLevel="0" collapsed="false">
      <c r="A246" s="11" t="s">
        <v>291</v>
      </c>
      <c r="B246" s="11" t="s">
        <v>36</v>
      </c>
      <c r="C246" s="11" t="s">
        <v>42</v>
      </c>
      <c r="D246" s="11" t="n">
        <v>45</v>
      </c>
      <c r="E246" s="11" t="n">
        <v>15</v>
      </c>
      <c r="F246" s="12" t="n">
        <v>60000</v>
      </c>
      <c r="G246" s="11" t="n">
        <v>3</v>
      </c>
      <c r="H246" s="11" t="s">
        <v>43</v>
      </c>
      <c r="I246" s="11" t="s">
        <v>43</v>
      </c>
      <c r="J246" s="11" t="str">
        <f aca="false">IF(E246&lt;=2,"0-2 yrs",IF(E246&lt;=5,"3-5 yrs",IF(E246&lt;=10,"6-10 yrs","10+ yrs")))</f>
        <v>10+ yrs</v>
      </c>
      <c r="K246" s="11" t="str">
        <f aca="false">IF(F246&lt;35000,"Low",IF(F246&lt;70000,"Medium","High"))</f>
        <v>Medium</v>
      </c>
    </row>
    <row r="247" customFormat="false" ht="15" hidden="false" customHeight="false" outlineLevel="0" collapsed="false">
      <c r="A247" s="11" t="s">
        <v>292</v>
      </c>
      <c r="B247" s="11" t="s">
        <v>36</v>
      </c>
      <c r="C247" s="11" t="s">
        <v>42</v>
      </c>
      <c r="D247" s="11" t="n">
        <v>49</v>
      </c>
      <c r="E247" s="11" t="n">
        <v>3</v>
      </c>
      <c r="F247" s="12" t="n">
        <v>35800</v>
      </c>
      <c r="G247" s="11" t="n">
        <v>2</v>
      </c>
      <c r="H247" s="11" t="s">
        <v>43</v>
      </c>
      <c r="I247" s="11" t="s">
        <v>43</v>
      </c>
      <c r="J247" s="11" t="str">
        <f aca="false">IF(E247&lt;=2,"0-2 yrs",IF(E247&lt;=5,"3-5 yrs",IF(E247&lt;=10,"6-10 yrs","10+ yrs")))</f>
        <v>3-5 yrs</v>
      </c>
      <c r="K247" s="11" t="str">
        <f aca="false">IF(F247&lt;35000,"Low",IF(F247&lt;70000,"Medium","High"))</f>
        <v>Medium</v>
      </c>
    </row>
    <row r="248" customFormat="false" ht="15" hidden="false" customHeight="false" outlineLevel="0" collapsed="false">
      <c r="A248" s="11" t="s">
        <v>293</v>
      </c>
      <c r="B248" s="11" t="s">
        <v>36</v>
      </c>
      <c r="C248" s="11" t="s">
        <v>42</v>
      </c>
      <c r="D248" s="11" t="n">
        <v>23</v>
      </c>
      <c r="E248" s="11" t="n">
        <v>3</v>
      </c>
      <c r="F248" s="12" t="n">
        <v>39000</v>
      </c>
      <c r="G248" s="11" t="n">
        <v>2</v>
      </c>
      <c r="H248" s="11" t="s">
        <v>43</v>
      </c>
      <c r="I248" s="11" t="s">
        <v>38</v>
      </c>
      <c r="J248" s="11" t="str">
        <f aca="false">IF(E248&lt;=2,"0-2 yrs",IF(E248&lt;=5,"3-5 yrs",IF(E248&lt;=10,"6-10 yrs","10+ yrs")))</f>
        <v>3-5 yrs</v>
      </c>
      <c r="K248" s="11" t="str">
        <f aca="false">IF(F248&lt;35000,"Low",IF(F248&lt;70000,"Medium","High"))</f>
        <v>Medium</v>
      </c>
    </row>
    <row r="249" customFormat="false" ht="15" hidden="false" customHeight="false" outlineLevel="0" collapsed="false">
      <c r="A249" s="11" t="s">
        <v>294</v>
      </c>
      <c r="B249" s="11" t="s">
        <v>46</v>
      </c>
      <c r="C249" s="11" t="s">
        <v>37</v>
      </c>
      <c r="D249" s="11" t="n">
        <v>36</v>
      </c>
      <c r="E249" s="11" t="n">
        <v>7</v>
      </c>
      <c r="F249" s="12" t="n">
        <v>60800</v>
      </c>
      <c r="G249" s="11" t="n">
        <v>3</v>
      </c>
      <c r="H249" s="11" t="s">
        <v>38</v>
      </c>
      <c r="I249" s="11" t="s">
        <v>38</v>
      </c>
      <c r="J249" s="11" t="str">
        <f aca="false">IF(E249&lt;=2,"0-2 yrs",IF(E249&lt;=5,"3-5 yrs",IF(E249&lt;=10,"6-10 yrs","10+ yrs")))</f>
        <v>6-10 yrs</v>
      </c>
      <c r="K249" s="11" t="str">
        <f aca="false">IF(F249&lt;35000,"Low",IF(F249&lt;70000,"Medium","High"))</f>
        <v>Medium</v>
      </c>
    </row>
    <row r="250" customFormat="false" ht="15" hidden="false" customHeight="false" outlineLevel="0" collapsed="false">
      <c r="A250" s="11" t="s">
        <v>295</v>
      </c>
      <c r="B250" s="11" t="s">
        <v>46</v>
      </c>
      <c r="C250" s="11" t="s">
        <v>42</v>
      </c>
      <c r="D250" s="11" t="n">
        <v>23</v>
      </c>
      <c r="E250" s="11" t="n">
        <v>3</v>
      </c>
      <c r="F250" s="12" t="n">
        <v>42100</v>
      </c>
      <c r="G250" s="11" t="n">
        <v>2</v>
      </c>
      <c r="H250" s="11" t="s">
        <v>43</v>
      </c>
      <c r="I250" s="11" t="s">
        <v>43</v>
      </c>
      <c r="J250" s="11" t="str">
        <f aca="false">IF(E250&lt;=2,"0-2 yrs",IF(E250&lt;=5,"3-5 yrs",IF(E250&lt;=10,"6-10 yrs","10+ yrs")))</f>
        <v>3-5 yrs</v>
      </c>
      <c r="K250" s="11" t="str">
        <f aca="false">IF(F250&lt;35000,"Low",IF(F250&lt;70000,"Medium","High"))</f>
        <v>Medium</v>
      </c>
    </row>
    <row r="251" customFormat="false" ht="15" hidden="false" customHeight="false" outlineLevel="0" collapsed="false">
      <c r="A251" s="11" t="s">
        <v>296</v>
      </c>
      <c r="B251" s="11" t="s">
        <v>48</v>
      </c>
      <c r="C251" s="11" t="s">
        <v>42</v>
      </c>
      <c r="D251" s="11" t="n">
        <v>31</v>
      </c>
      <c r="E251" s="11" t="n">
        <v>11</v>
      </c>
      <c r="F251" s="12" t="n">
        <v>71000</v>
      </c>
      <c r="G251" s="11" t="n">
        <v>2</v>
      </c>
      <c r="H251" s="11" t="s">
        <v>43</v>
      </c>
      <c r="I251" s="11" t="s">
        <v>43</v>
      </c>
      <c r="J251" s="11" t="str">
        <f aca="false">IF(E251&lt;=2,"0-2 yrs",IF(E251&lt;=5,"3-5 yrs",IF(E251&lt;=10,"6-10 yrs","10+ yrs")))</f>
        <v>10+ yrs</v>
      </c>
      <c r="K251" s="11" t="str">
        <f aca="false">IF(F251&lt;35000,"Low",IF(F251&lt;70000,"Medium","High"))</f>
        <v>High</v>
      </c>
    </row>
    <row r="252" customFormat="false" ht="15" hidden="false" customHeight="false" outlineLevel="0" collapsed="false">
      <c r="A252" s="11" t="s">
        <v>297</v>
      </c>
      <c r="B252" s="11" t="s">
        <v>54</v>
      </c>
      <c r="C252" s="11" t="s">
        <v>42</v>
      </c>
      <c r="D252" s="11" t="n">
        <v>36</v>
      </c>
      <c r="E252" s="11" t="n">
        <v>6</v>
      </c>
      <c r="F252" s="12" t="n">
        <v>62100</v>
      </c>
      <c r="G252" s="11" t="n">
        <v>1</v>
      </c>
      <c r="H252" s="11" t="s">
        <v>43</v>
      </c>
      <c r="I252" s="11" t="s">
        <v>43</v>
      </c>
      <c r="J252" s="11" t="str">
        <f aca="false">IF(E252&lt;=2,"0-2 yrs",IF(E252&lt;=5,"3-5 yrs",IF(E252&lt;=10,"6-10 yrs","10+ yrs")))</f>
        <v>6-10 yrs</v>
      </c>
      <c r="K252" s="11" t="str">
        <f aca="false">IF(F252&lt;35000,"Low",IF(F252&lt;70000,"Medium","High"))</f>
        <v>Medium</v>
      </c>
    </row>
    <row r="253" customFormat="false" ht="15" hidden="false" customHeight="false" outlineLevel="0" collapsed="false">
      <c r="A253" s="11" t="s">
        <v>298</v>
      </c>
      <c r="B253" s="11" t="s">
        <v>51</v>
      </c>
      <c r="C253" s="11" t="s">
        <v>37</v>
      </c>
      <c r="D253" s="11" t="n">
        <v>34</v>
      </c>
      <c r="E253" s="11" t="n">
        <v>3</v>
      </c>
      <c r="F253" s="12" t="n">
        <v>69300</v>
      </c>
      <c r="G253" s="11" t="n">
        <v>2</v>
      </c>
      <c r="H253" s="11" t="s">
        <v>38</v>
      </c>
      <c r="I253" s="11" t="s">
        <v>43</v>
      </c>
      <c r="J253" s="11" t="str">
        <f aca="false">IF(E253&lt;=2,"0-2 yrs",IF(E253&lt;=5,"3-5 yrs",IF(E253&lt;=10,"6-10 yrs","10+ yrs")))</f>
        <v>3-5 yrs</v>
      </c>
      <c r="K253" s="11" t="str">
        <f aca="false">IF(F253&lt;35000,"Low",IF(F253&lt;70000,"Medium","High"))</f>
        <v>Medium</v>
      </c>
    </row>
    <row r="254" customFormat="false" ht="15" hidden="false" customHeight="false" outlineLevel="0" collapsed="false">
      <c r="A254" s="11" t="s">
        <v>299</v>
      </c>
      <c r="B254" s="11" t="s">
        <v>48</v>
      </c>
      <c r="C254" s="11" t="s">
        <v>42</v>
      </c>
      <c r="D254" s="11" t="n">
        <v>36</v>
      </c>
      <c r="E254" s="11" t="n">
        <v>10</v>
      </c>
      <c r="F254" s="12" t="n">
        <v>72800</v>
      </c>
      <c r="G254" s="11" t="n">
        <v>3</v>
      </c>
      <c r="H254" s="11" t="s">
        <v>38</v>
      </c>
      <c r="I254" s="11" t="s">
        <v>43</v>
      </c>
      <c r="J254" s="11" t="str">
        <f aca="false">IF(E254&lt;=2,"0-2 yrs",IF(E254&lt;=5,"3-5 yrs",IF(E254&lt;=10,"6-10 yrs","10+ yrs")))</f>
        <v>6-10 yrs</v>
      </c>
      <c r="K254" s="11" t="str">
        <f aca="false">IF(F254&lt;35000,"Low",IF(F254&lt;70000,"Medium","High"))</f>
        <v>High</v>
      </c>
    </row>
    <row r="255" customFormat="false" ht="15" hidden="false" customHeight="false" outlineLevel="0" collapsed="false">
      <c r="A255" s="11" t="s">
        <v>300</v>
      </c>
      <c r="B255" s="11" t="s">
        <v>41</v>
      </c>
      <c r="C255" s="11" t="s">
        <v>37</v>
      </c>
      <c r="D255" s="11" t="n">
        <v>51</v>
      </c>
      <c r="E255" s="11" t="n">
        <v>1</v>
      </c>
      <c r="F255" s="12" t="n">
        <v>47900</v>
      </c>
      <c r="G255" s="11" t="n">
        <v>2</v>
      </c>
      <c r="H255" s="11" t="s">
        <v>38</v>
      </c>
      <c r="I255" s="11" t="s">
        <v>38</v>
      </c>
      <c r="J255" s="11" t="str">
        <f aca="false">IF(E255&lt;=2,"0-2 yrs",IF(E255&lt;=5,"3-5 yrs",IF(E255&lt;=10,"6-10 yrs","10+ yrs")))</f>
        <v>0-2 yrs</v>
      </c>
      <c r="K255" s="11" t="str">
        <f aca="false">IF(F255&lt;35000,"Low",IF(F255&lt;70000,"Medium","High"))</f>
        <v>Medium</v>
      </c>
    </row>
    <row r="256" customFormat="false" ht="15" hidden="false" customHeight="false" outlineLevel="0" collapsed="false">
      <c r="A256" s="11" t="s">
        <v>301</v>
      </c>
      <c r="B256" s="11" t="s">
        <v>51</v>
      </c>
      <c r="C256" s="11" t="s">
        <v>42</v>
      </c>
      <c r="D256" s="11" t="n">
        <v>41</v>
      </c>
      <c r="E256" s="11" t="n">
        <v>11</v>
      </c>
      <c r="F256" s="12" t="n">
        <v>82700</v>
      </c>
      <c r="G256" s="11" t="n">
        <v>3</v>
      </c>
      <c r="H256" s="11" t="s">
        <v>43</v>
      </c>
      <c r="I256" s="11" t="s">
        <v>43</v>
      </c>
      <c r="J256" s="11" t="str">
        <f aca="false">IF(E256&lt;=2,"0-2 yrs",IF(E256&lt;=5,"3-5 yrs",IF(E256&lt;=10,"6-10 yrs","10+ yrs")))</f>
        <v>10+ yrs</v>
      </c>
      <c r="K256" s="11" t="str">
        <f aca="false">IF(F256&lt;35000,"Low",IF(F256&lt;70000,"Medium","High"))</f>
        <v>High</v>
      </c>
    </row>
    <row r="257" customFormat="false" ht="15" hidden="false" customHeight="false" outlineLevel="0" collapsed="false">
      <c r="A257" s="11" t="s">
        <v>302</v>
      </c>
      <c r="B257" s="11" t="s">
        <v>51</v>
      </c>
      <c r="C257" s="11" t="s">
        <v>37</v>
      </c>
      <c r="D257" s="11" t="n">
        <v>31</v>
      </c>
      <c r="E257" s="11" t="n">
        <v>10</v>
      </c>
      <c r="F257" s="12" t="n">
        <v>92100</v>
      </c>
      <c r="G257" s="11" t="n">
        <v>2</v>
      </c>
      <c r="H257" s="11" t="s">
        <v>43</v>
      </c>
      <c r="I257" s="11" t="s">
        <v>43</v>
      </c>
      <c r="J257" s="11" t="str">
        <f aca="false">IF(E257&lt;=2,"0-2 yrs",IF(E257&lt;=5,"3-5 yrs",IF(E257&lt;=10,"6-10 yrs","10+ yrs")))</f>
        <v>6-10 yrs</v>
      </c>
      <c r="K257" s="11" t="str">
        <f aca="false">IF(F257&lt;35000,"Low",IF(F257&lt;70000,"Medium","High"))</f>
        <v>High</v>
      </c>
    </row>
    <row r="258" customFormat="false" ht="15" hidden="false" customHeight="false" outlineLevel="0" collapsed="false">
      <c r="A258" s="11" t="s">
        <v>303</v>
      </c>
      <c r="B258" s="11" t="s">
        <v>41</v>
      </c>
      <c r="C258" s="11" t="s">
        <v>37</v>
      </c>
      <c r="D258" s="11" t="n">
        <v>44</v>
      </c>
      <c r="E258" s="11" t="n">
        <v>3</v>
      </c>
      <c r="F258" s="12" t="n">
        <v>49600</v>
      </c>
      <c r="G258" s="11" t="n">
        <v>4</v>
      </c>
      <c r="H258" s="11" t="s">
        <v>38</v>
      </c>
      <c r="I258" s="11" t="s">
        <v>43</v>
      </c>
      <c r="J258" s="11" t="str">
        <f aca="false">IF(E258&lt;=2,"0-2 yrs",IF(E258&lt;=5,"3-5 yrs",IF(E258&lt;=10,"6-10 yrs","10+ yrs")))</f>
        <v>3-5 yrs</v>
      </c>
      <c r="K258" s="11" t="str">
        <f aca="false">IF(F258&lt;35000,"Low",IF(F258&lt;70000,"Medium","High"))</f>
        <v>Medium</v>
      </c>
    </row>
    <row r="259" customFormat="false" ht="15" hidden="false" customHeight="false" outlineLevel="0" collapsed="false">
      <c r="A259" s="11" t="s">
        <v>304</v>
      </c>
      <c r="B259" s="11" t="s">
        <v>51</v>
      </c>
      <c r="C259" s="11" t="s">
        <v>37</v>
      </c>
      <c r="D259" s="11" t="n">
        <v>25</v>
      </c>
      <c r="E259" s="11" t="n">
        <v>5</v>
      </c>
      <c r="F259" s="12" t="n">
        <v>59700</v>
      </c>
      <c r="G259" s="11" t="n">
        <v>4</v>
      </c>
      <c r="H259" s="11" t="s">
        <v>43</v>
      </c>
      <c r="I259" s="11" t="s">
        <v>43</v>
      </c>
      <c r="J259" s="11" t="str">
        <f aca="false">IF(E259&lt;=2,"0-2 yrs",IF(E259&lt;=5,"3-5 yrs",IF(E259&lt;=10,"6-10 yrs","10+ yrs")))</f>
        <v>3-5 yrs</v>
      </c>
      <c r="K259" s="11" t="str">
        <f aca="false">IF(F259&lt;35000,"Low",IF(F259&lt;70000,"Medium","High"))</f>
        <v>Medium</v>
      </c>
    </row>
    <row r="260" customFormat="false" ht="15" hidden="false" customHeight="false" outlineLevel="0" collapsed="false">
      <c r="A260" s="11" t="s">
        <v>305</v>
      </c>
      <c r="B260" s="11" t="s">
        <v>41</v>
      </c>
      <c r="C260" s="11" t="s">
        <v>42</v>
      </c>
      <c r="D260" s="11" t="n">
        <v>52</v>
      </c>
      <c r="E260" s="11" t="n">
        <v>2</v>
      </c>
      <c r="F260" s="12" t="n">
        <v>68700</v>
      </c>
      <c r="G260" s="11" t="n">
        <v>3</v>
      </c>
      <c r="H260" s="11" t="s">
        <v>38</v>
      </c>
      <c r="I260" s="11" t="s">
        <v>38</v>
      </c>
      <c r="J260" s="11" t="str">
        <f aca="false">IF(E260&lt;=2,"0-2 yrs",IF(E260&lt;=5,"3-5 yrs",IF(E260&lt;=10,"6-10 yrs","10+ yrs")))</f>
        <v>0-2 yrs</v>
      </c>
      <c r="K260" s="11" t="str">
        <f aca="false">IF(F260&lt;35000,"Low",IF(F260&lt;70000,"Medium","High"))</f>
        <v>Medium</v>
      </c>
    </row>
    <row r="261" customFormat="false" ht="15" hidden="false" customHeight="false" outlineLevel="0" collapsed="false">
      <c r="A261" s="11" t="s">
        <v>306</v>
      </c>
      <c r="B261" s="11" t="s">
        <v>41</v>
      </c>
      <c r="C261" s="11" t="s">
        <v>37</v>
      </c>
      <c r="D261" s="11" t="n">
        <v>49</v>
      </c>
      <c r="E261" s="11" t="n">
        <v>3</v>
      </c>
      <c r="F261" s="12" t="n">
        <v>52900</v>
      </c>
      <c r="G261" s="11" t="n">
        <v>3</v>
      </c>
      <c r="H261" s="11" t="s">
        <v>43</v>
      </c>
      <c r="I261" s="11" t="s">
        <v>43</v>
      </c>
      <c r="J261" s="11" t="str">
        <f aca="false">IF(E261&lt;=2,"0-2 yrs",IF(E261&lt;=5,"3-5 yrs",IF(E261&lt;=10,"6-10 yrs","10+ yrs")))</f>
        <v>3-5 yrs</v>
      </c>
      <c r="K261" s="11" t="str">
        <f aca="false">IF(F261&lt;35000,"Low",IF(F261&lt;70000,"Medium","High"))</f>
        <v>Medium</v>
      </c>
    </row>
    <row r="262" customFormat="false" ht="15" hidden="false" customHeight="false" outlineLevel="0" collapsed="false">
      <c r="A262" s="11" t="s">
        <v>307</v>
      </c>
      <c r="B262" s="11" t="s">
        <v>46</v>
      </c>
      <c r="C262" s="11" t="s">
        <v>37</v>
      </c>
      <c r="D262" s="11" t="n">
        <v>44</v>
      </c>
      <c r="E262" s="11" t="n">
        <v>9</v>
      </c>
      <c r="F262" s="12" t="n">
        <v>67500</v>
      </c>
      <c r="G262" s="11" t="n">
        <v>2</v>
      </c>
      <c r="H262" s="11" t="s">
        <v>43</v>
      </c>
      <c r="I262" s="11" t="s">
        <v>43</v>
      </c>
      <c r="J262" s="11" t="str">
        <f aca="false">IF(E262&lt;=2,"0-2 yrs",IF(E262&lt;=5,"3-5 yrs",IF(E262&lt;=10,"6-10 yrs","10+ yrs")))</f>
        <v>6-10 yrs</v>
      </c>
      <c r="K262" s="11" t="str">
        <f aca="false">IF(F262&lt;35000,"Low",IF(F262&lt;70000,"Medium","High"))</f>
        <v>Medium</v>
      </c>
    </row>
    <row r="263" customFormat="false" ht="15" hidden="false" customHeight="false" outlineLevel="0" collapsed="false">
      <c r="A263" s="11" t="s">
        <v>308</v>
      </c>
      <c r="B263" s="11" t="s">
        <v>46</v>
      </c>
      <c r="C263" s="11" t="s">
        <v>37</v>
      </c>
      <c r="D263" s="11" t="n">
        <v>26</v>
      </c>
      <c r="E263" s="11" t="n">
        <v>6</v>
      </c>
      <c r="F263" s="12" t="n">
        <v>60400</v>
      </c>
      <c r="G263" s="11" t="n">
        <v>2</v>
      </c>
      <c r="H263" s="11" t="s">
        <v>43</v>
      </c>
      <c r="I263" s="11" t="s">
        <v>38</v>
      </c>
      <c r="J263" s="11" t="str">
        <f aca="false">IF(E263&lt;=2,"0-2 yrs",IF(E263&lt;=5,"3-5 yrs",IF(E263&lt;=10,"6-10 yrs","10+ yrs")))</f>
        <v>6-10 yrs</v>
      </c>
      <c r="K263" s="11" t="str">
        <f aca="false">IF(F263&lt;35000,"Low",IF(F263&lt;70000,"Medium","High"))</f>
        <v>Medium</v>
      </c>
    </row>
    <row r="264" customFormat="false" ht="15" hidden="false" customHeight="false" outlineLevel="0" collapsed="false">
      <c r="A264" s="11" t="s">
        <v>309</v>
      </c>
      <c r="B264" s="11" t="s">
        <v>41</v>
      </c>
      <c r="C264" s="11" t="s">
        <v>42</v>
      </c>
      <c r="D264" s="11" t="n">
        <v>22</v>
      </c>
      <c r="E264" s="11" t="n">
        <v>0</v>
      </c>
      <c r="F264" s="12" t="n">
        <v>54000</v>
      </c>
      <c r="G264" s="11" t="n">
        <v>4</v>
      </c>
      <c r="H264" s="11" t="s">
        <v>43</v>
      </c>
      <c r="I264" s="11" t="s">
        <v>38</v>
      </c>
      <c r="J264" s="11" t="str">
        <f aca="false">IF(E264&lt;=2,"0-2 yrs",IF(E264&lt;=5,"3-5 yrs",IF(E264&lt;=10,"6-10 yrs","10+ yrs")))</f>
        <v>0-2 yrs</v>
      </c>
      <c r="K264" s="11" t="str">
        <f aca="false">IF(F264&lt;35000,"Low",IF(F264&lt;70000,"Medium","High"))</f>
        <v>Medium</v>
      </c>
    </row>
    <row r="265" customFormat="false" ht="15" hidden="false" customHeight="false" outlineLevel="0" collapsed="false">
      <c r="A265" s="11" t="s">
        <v>310</v>
      </c>
      <c r="B265" s="11" t="s">
        <v>36</v>
      </c>
      <c r="C265" s="11" t="s">
        <v>42</v>
      </c>
      <c r="D265" s="11" t="n">
        <v>40</v>
      </c>
      <c r="E265" s="11" t="n">
        <v>4</v>
      </c>
      <c r="F265" s="12" t="n">
        <v>37000</v>
      </c>
      <c r="G265" s="11" t="n">
        <v>3</v>
      </c>
      <c r="H265" s="11" t="s">
        <v>43</v>
      </c>
      <c r="I265" s="11" t="s">
        <v>43</v>
      </c>
      <c r="J265" s="11" t="str">
        <f aca="false">IF(E265&lt;=2,"0-2 yrs",IF(E265&lt;=5,"3-5 yrs",IF(E265&lt;=10,"6-10 yrs","10+ yrs")))</f>
        <v>3-5 yrs</v>
      </c>
      <c r="K265" s="11" t="str">
        <f aca="false">IF(F265&lt;35000,"Low",IF(F265&lt;70000,"Medium","High"))</f>
        <v>Medium</v>
      </c>
    </row>
    <row r="266" customFormat="false" ht="15" hidden="false" customHeight="false" outlineLevel="0" collapsed="false">
      <c r="A266" s="11" t="s">
        <v>311</v>
      </c>
      <c r="B266" s="11" t="s">
        <v>36</v>
      </c>
      <c r="C266" s="11" t="s">
        <v>42</v>
      </c>
      <c r="D266" s="11" t="n">
        <v>45</v>
      </c>
      <c r="E266" s="11" t="n">
        <v>9</v>
      </c>
      <c r="F266" s="12" t="n">
        <v>64000</v>
      </c>
      <c r="G266" s="11" t="n">
        <v>2</v>
      </c>
      <c r="H266" s="11" t="s">
        <v>43</v>
      </c>
      <c r="I266" s="11" t="s">
        <v>43</v>
      </c>
      <c r="J266" s="11" t="str">
        <f aca="false">IF(E266&lt;=2,"0-2 yrs",IF(E266&lt;=5,"3-5 yrs",IF(E266&lt;=10,"6-10 yrs","10+ yrs")))</f>
        <v>6-10 yrs</v>
      </c>
      <c r="K266" s="11" t="str">
        <f aca="false">IF(F266&lt;35000,"Low",IF(F266&lt;70000,"Medium","High"))</f>
        <v>Medium</v>
      </c>
    </row>
    <row r="267" customFormat="false" ht="15" hidden="false" customHeight="false" outlineLevel="0" collapsed="false">
      <c r="A267" s="11" t="s">
        <v>312</v>
      </c>
      <c r="B267" s="11" t="s">
        <v>54</v>
      </c>
      <c r="C267" s="11" t="s">
        <v>37</v>
      </c>
      <c r="D267" s="11" t="n">
        <v>39</v>
      </c>
      <c r="E267" s="11" t="n">
        <v>0</v>
      </c>
      <c r="F267" s="12" t="n">
        <v>36400</v>
      </c>
      <c r="G267" s="11" t="n">
        <v>3</v>
      </c>
      <c r="H267" s="11" t="s">
        <v>38</v>
      </c>
      <c r="I267" s="11" t="s">
        <v>43</v>
      </c>
      <c r="J267" s="11" t="str">
        <f aca="false">IF(E267&lt;=2,"0-2 yrs",IF(E267&lt;=5,"3-5 yrs",IF(E267&lt;=10,"6-10 yrs","10+ yrs")))</f>
        <v>0-2 yrs</v>
      </c>
      <c r="K267" s="11" t="str">
        <f aca="false">IF(F267&lt;35000,"Low",IF(F267&lt;70000,"Medium","High"))</f>
        <v>Medium</v>
      </c>
    </row>
    <row r="268" customFormat="false" ht="15" hidden="false" customHeight="false" outlineLevel="0" collapsed="false">
      <c r="A268" s="11" t="s">
        <v>313</v>
      </c>
      <c r="B268" s="11" t="s">
        <v>48</v>
      </c>
      <c r="C268" s="11" t="s">
        <v>37</v>
      </c>
      <c r="D268" s="11" t="n">
        <v>54</v>
      </c>
      <c r="E268" s="11" t="n">
        <v>1</v>
      </c>
      <c r="F268" s="12" t="n">
        <v>61600</v>
      </c>
      <c r="G268" s="11" t="n">
        <v>3</v>
      </c>
      <c r="H268" s="11" t="s">
        <v>43</v>
      </c>
      <c r="I268" s="11" t="s">
        <v>38</v>
      </c>
      <c r="J268" s="11" t="str">
        <f aca="false">IF(E268&lt;=2,"0-2 yrs",IF(E268&lt;=5,"3-5 yrs",IF(E268&lt;=10,"6-10 yrs","10+ yrs")))</f>
        <v>0-2 yrs</v>
      </c>
      <c r="K268" s="11" t="str">
        <f aca="false">IF(F268&lt;35000,"Low",IF(F268&lt;70000,"Medium","High"))</f>
        <v>Medium</v>
      </c>
    </row>
    <row r="269" customFormat="false" ht="15" hidden="false" customHeight="false" outlineLevel="0" collapsed="false">
      <c r="A269" s="11" t="s">
        <v>314</v>
      </c>
      <c r="B269" s="11" t="s">
        <v>51</v>
      </c>
      <c r="C269" s="11" t="s">
        <v>37</v>
      </c>
      <c r="D269" s="11" t="n">
        <v>54</v>
      </c>
      <c r="E269" s="11" t="n">
        <v>0</v>
      </c>
      <c r="F269" s="12" t="n">
        <v>78800</v>
      </c>
      <c r="G269" s="11" t="n">
        <v>4</v>
      </c>
      <c r="H269" s="11" t="s">
        <v>38</v>
      </c>
      <c r="I269" s="11" t="s">
        <v>43</v>
      </c>
      <c r="J269" s="11" t="str">
        <f aca="false">IF(E269&lt;=2,"0-2 yrs",IF(E269&lt;=5,"3-5 yrs",IF(E269&lt;=10,"6-10 yrs","10+ yrs")))</f>
        <v>0-2 yrs</v>
      </c>
      <c r="K269" s="11" t="str">
        <f aca="false">IF(F269&lt;35000,"Low",IF(F269&lt;70000,"Medium","High"))</f>
        <v>High</v>
      </c>
    </row>
    <row r="270" customFormat="false" ht="15" hidden="false" customHeight="false" outlineLevel="0" collapsed="false">
      <c r="A270" s="11" t="s">
        <v>315</v>
      </c>
      <c r="B270" s="11" t="s">
        <v>41</v>
      </c>
      <c r="C270" s="11" t="s">
        <v>42</v>
      </c>
      <c r="D270" s="11" t="n">
        <v>31</v>
      </c>
      <c r="E270" s="11" t="n">
        <v>11</v>
      </c>
      <c r="F270" s="12" t="n">
        <v>70400</v>
      </c>
      <c r="G270" s="11" t="n">
        <v>3</v>
      </c>
      <c r="H270" s="11" t="s">
        <v>38</v>
      </c>
      <c r="I270" s="11" t="s">
        <v>38</v>
      </c>
      <c r="J270" s="11" t="str">
        <f aca="false">IF(E270&lt;=2,"0-2 yrs",IF(E270&lt;=5,"3-5 yrs",IF(E270&lt;=10,"6-10 yrs","10+ yrs")))</f>
        <v>10+ yrs</v>
      </c>
      <c r="K270" s="11" t="str">
        <f aca="false">IF(F270&lt;35000,"Low",IF(F270&lt;70000,"Medium","High"))</f>
        <v>High</v>
      </c>
    </row>
    <row r="271" customFormat="false" ht="15" hidden="false" customHeight="false" outlineLevel="0" collapsed="false">
      <c r="A271" s="11" t="s">
        <v>316</v>
      </c>
      <c r="B271" s="11" t="s">
        <v>41</v>
      </c>
      <c r="C271" s="11" t="s">
        <v>37</v>
      </c>
      <c r="D271" s="11" t="n">
        <v>56</v>
      </c>
      <c r="E271" s="11" t="n">
        <v>5</v>
      </c>
      <c r="F271" s="12" t="n">
        <v>42900</v>
      </c>
      <c r="G271" s="11" t="n">
        <v>3</v>
      </c>
      <c r="H271" s="11" t="s">
        <v>38</v>
      </c>
      <c r="I271" s="11" t="s">
        <v>43</v>
      </c>
      <c r="J271" s="11" t="str">
        <f aca="false">IF(E271&lt;=2,"0-2 yrs",IF(E271&lt;=5,"3-5 yrs",IF(E271&lt;=10,"6-10 yrs","10+ yrs")))</f>
        <v>3-5 yrs</v>
      </c>
      <c r="K271" s="11" t="str">
        <f aca="false">IF(F271&lt;35000,"Low",IF(F271&lt;70000,"Medium","High"))</f>
        <v>Medium</v>
      </c>
    </row>
    <row r="272" customFormat="false" ht="15" hidden="false" customHeight="false" outlineLevel="0" collapsed="false">
      <c r="A272" s="11" t="s">
        <v>317</v>
      </c>
      <c r="B272" s="11" t="s">
        <v>36</v>
      </c>
      <c r="C272" s="11" t="s">
        <v>37</v>
      </c>
      <c r="D272" s="11" t="n">
        <v>46</v>
      </c>
      <c r="E272" s="11" t="n">
        <v>14</v>
      </c>
      <c r="F272" s="12" t="n">
        <v>58900</v>
      </c>
      <c r="G272" s="11" t="n">
        <v>3</v>
      </c>
      <c r="H272" s="11" t="s">
        <v>43</v>
      </c>
      <c r="I272" s="11" t="s">
        <v>43</v>
      </c>
      <c r="J272" s="11" t="str">
        <f aca="false">IF(E272&lt;=2,"0-2 yrs",IF(E272&lt;=5,"3-5 yrs",IF(E272&lt;=10,"6-10 yrs","10+ yrs")))</f>
        <v>10+ yrs</v>
      </c>
      <c r="K272" s="11" t="str">
        <f aca="false">IF(F272&lt;35000,"Low",IF(F272&lt;70000,"Medium","High"))</f>
        <v>Medium</v>
      </c>
    </row>
    <row r="273" customFormat="false" ht="15" hidden="false" customHeight="false" outlineLevel="0" collapsed="false">
      <c r="A273" s="11" t="s">
        <v>318</v>
      </c>
      <c r="B273" s="11" t="s">
        <v>36</v>
      </c>
      <c r="C273" s="11" t="s">
        <v>42</v>
      </c>
      <c r="D273" s="11" t="n">
        <v>24</v>
      </c>
      <c r="E273" s="11" t="n">
        <v>4</v>
      </c>
      <c r="F273" s="12" t="n">
        <v>49600</v>
      </c>
      <c r="G273" s="11" t="n">
        <v>3</v>
      </c>
      <c r="H273" s="11" t="s">
        <v>38</v>
      </c>
      <c r="I273" s="11" t="s">
        <v>38</v>
      </c>
      <c r="J273" s="11" t="str">
        <f aca="false">IF(E273&lt;=2,"0-2 yrs",IF(E273&lt;=5,"3-5 yrs",IF(E273&lt;=10,"6-10 yrs","10+ yrs")))</f>
        <v>3-5 yrs</v>
      </c>
      <c r="K273" s="11" t="str">
        <f aca="false">IF(F273&lt;35000,"Low",IF(F273&lt;70000,"Medium","High"))</f>
        <v>Medium</v>
      </c>
    </row>
    <row r="274" customFormat="false" ht="15" hidden="false" customHeight="false" outlineLevel="0" collapsed="false">
      <c r="A274" s="11" t="s">
        <v>319</v>
      </c>
      <c r="B274" s="11" t="s">
        <v>41</v>
      </c>
      <c r="C274" s="11" t="s">
        <v>37</v>
      </c>
      <c r="D274" s="11" t="n">
        <v>45</v>
      </c>
      <c r="E274" s="11" t="n">
        <v>10</v>
      </c>
      <c r="F274" s="12" t="n">
        <v>76400</v>
      </c>
      <c r="G274" s="11" t="n">
        <v>2</v>
      </c>
      <c r="H274" s="11" t="s">
        <v>43</v>
      </c>
      <c r="I274" s="11" t="s">
        <v>43</v>
      </c>
      <c r="J274" s="11" t="str">
        <f aca="false">IF(E274&lt;=2,"0-2 yrs",IF(E274&lt;=5,"3-5 yrs",IF(E274&lt;=10,"6-10 yrs","10+ yrs")))</f>
        <v>6-10 yrs</v>
      </c>
      <c r="K274" s="11" t="str">
        <f aca="false">IF(F274&lt;35000,"Low",IF(F274&lt;70000,"Medium","High"))</f>
        <v>High</v>
      </c>
    </row>
    <row r="275" customFormat="false" ht="15" hidden="false" customHeight="false" outlineLevel="0" collapsed="false">
      <c r="A275" s="11" t="s">
        <v>320</v>
      </c>
      <c r="B275" s="11" t="s">
        <v>36</v>
      </c>
      <c r="C275" s="11" t="s">
        <v>42</v>
      </c>
      <c r="D275" s="11" t="n">
        <v>44</v>
      </c>
      <c r="E275" s="11" t="n">
        <v>2</v>
      </c>
      <c r="F275" s="12" t="n">
        <v>47800</v>
      </c>
      <c r="G275" s="11" t="n">
        <v>4</v>
      </c>
      <c r="H275" s="11" t="s">
        <v>43</v>
      </c>
      <c r="I275" s="11" t="s">
        <v>43</v>
      </c>
      <c r="J275" s="11" t="str">
        <f aca="false">IF(E275&lt;=2,"0-2 yrs",IF(E275&lt;=5,"3-5 yrs",IF(E275&lt;=10,"6-10 yrs","10+ yrs")))</f>
        <v>0-2 yrs</v>
      </c>
      <c r="K275" s="11" t="str">
        <f aca="false">IF(F275&lt;35000,"Low",IF(F275&lt;70000,"Medium","High"))</f>
        <v>Medium</v>
      </c>
    </row>
    <row r="276" customFormat="false" ht="15" hidden="false" customHeight="false" outlineLevel="0" collapsed="false">
      <c r="A276" s="11" t="s">
        <v>321</v>
      </c>
      <c r="B276" s="11" t="s">
        <v>36</v>
      </c>
      <c r="C276" s="11" t="s">
        <v>42</v>
      </c>
      <c r="D276" s="11" t="n">
        <v>22</v>
      </c>
      <c r="E276" s="11" t="n">
        <v>2</v>
      </c>
      <c r="F276" s="12" t="n">
        <v>38000</v>
      </c>
      <c r="G276" s="11" t="n">
        <v>1</v>
      </c>
      <c r="H276" s="11" t="s">
        <v>38</v>
      </c>
      <c r="I276" s="11" t="s">
        <v>38</v>
      </c>
      <c r="J276" s="11" t="str">
        <f aca="false">IF(E276&lt;=2,"0-2 yrs",IF(E276&lt;=5,"3-5 yrs",IF(E276&lt;=10,"6-10 yrs","10+ yrs")))</f>
        <v>0-2 yrs</v>
      </c>
      <c r="K276" s="11" t="str">
        <f aca="false">IF(F276&lt;35000,"Low",IF(F276&lt;70000,"Medium","High"))</f>
        <v>Medium</v>
      </c>
    </row>
    <row r="277" customFormat="false" ht="15" hidden="false" customHeight="false" outlineLevel="0" collapsed="false">
      <c r="A277" s="11" t="s">
        <v>322</v>
      </c>
      <c r="B277" s="11" t="s">
        <v>51</v>
      </c>
      <c r="C277" s="11" t="s">
        <v>42</v>
      </c>
      <c r="D277" s="11" t="n">
        <v>30</v>
      </c>
      <c r="E277" s="11" t="n">
        <v>2</v>
      </c>
      <c r="F277" s="12" t="n">
        <v>75200</v>
      </c>
      <c r="G277" s="11" t="n">
        <v>4</v>
      </c>
      <c r="H277" s="11" t="s">
        <v>43</v>
      </c>
      <c r="I277" s="11" t="s">
        <v>43</v>
      </c>
      <c r="J277" s="11" t="str">
        <f aca="false">IF(E277&lt;=2,"0-2 yrs",IF(E277&lt;=5,"3-5 yrs",IF(E277&lt;=10,"6-10 yrs","10+ yrs")))</f>
        <v>0-2 yrs</v>
      </c>
      <c r="K277" s="11" t="str">
        <f aca="false">IF(F277&lt;35000,"Low",IF(F277&lt;70000,"Medium","High"))</f>
        <v>High</v>
      </c>
    </row>
    <row r="278" customFormat="false" ht="15" hidden="false" customHeight="false" outlineLevel="0" collapsed="false">
      <c r="A278" s="11" t="s">
        <v>323</v>
      </c>
      <c r="B278" s="11" t="s">
        <v>41</v>
      </c>
      <c r="C278" s="11" t="s">
        <v>42</v>
      </c>
      <c r="D278" s="11" t="n">
        <v>37</v>
      </c>
      <c r="E278" s="11" t="n">
        <v>3</v>
      </c>
      <c r="F278" s="12" t="n">
        <v>54100</v>
      </c>
      <c r="G278" s="11" t="n">
        <v>1</v>
      </c>
      <c r="H278" s="11" t="s">
        <v>43</v>
      </c>
      <c r="I278" s="11" t="s">
        <v>43</v>
      </c>
      <c r="J278" s="11" t="str">
        <f aca="false">IF(E278&lt;=2,"0-2 yrs",IF(E278&lt;=5,"3-5 yrs",IF(E278&lt;=10,"6-10 yrs","10+ yrs")))</f>
        <v>3-5 yrs</v>
      </c>
      <c r="K278" s="11" t="str">
        <f aca="false">IF(F278&lt;35000,"Low",IF(F278&lt;70000,"Medium","High"))</f>
        <v>Medium</v>
      </c>
    </row>
    <row r="279" customFormat="false" ht="15" hidden="false" customHeight="false" outlineLevel="0" collapsed="false">
      <c r="A279" s="11" t="s">
        <v>324</v>
      </c>
      <c r="B279" s="11" t="s">
        <v>46</v>
      </c>
      <c r="C279" s="11" t="s">
        <v>37</v>
      </c>
      <c r="D279" s="11" t="n">
        <v>25</v>
      </c>
      <c r="E279" s="11" t="n">
        <v>2</v>
      </c>
      <c r="F279" s="12" t="n">
        <v>56800</v>
      </c>
      <c r="G279" s="11" t="n">
        <v>4</v>
      </c>
      <c r="H279" s="11" t="s">
        <v>43</v>
      </c>
      <c r="I279" s="11" t="s">
        <v>43</v>
      </c>
      <c r="J279" s="11" t="str">
        <f aca="false">IF(E279&lt;=2,"0-2 yrs",IF(E279&lt;=5,"3-5 yrs",IF(E279&lt;=10,"6-10 yrs","10+ yrs")))</f>
        <v>0-2 yrs</v>
      </c>
      <c r="K279" s="11" t="str">
        <f aca="false">IF(F279&lt;35000,"Low",IF(F279&lt;70000,"Medium","High"))</f>
        <v>Medium</v>
      </c>
    </row>
    <row r="280" customFormat="false" ht="15" hidden="false" customHeight="false" outlineLevel="0" collapsed="false">
      <c r="A280" s="11" t="s">
        <v>325</v>
      </c>
      <c r="B280" s="11" t="s">
        <v>46</v>
      </c>
      <c r="C280" s="11" t="s">
        <v>42</v>
      </c>
      <c r="D280" s="11" t="n">
        <v>51</v>
      </c>
      <c r="E280" s="11" t="n">
        <v>8</v>
      </c>
      <c r="F280" s="12" t="n">
        <v>67600</v>
      </c>
      <c r="G280" s="11" t="n">
        <v>2</v>
      </c>
      <c r="H280" s="11" t="s">
        <v>43</v>
      </c>
      <c r="I280" s="11" t="s">
        <v>43</v>
      </c>
      <c r="J280" s="11" t="str">
        <f aca="false">IF(E280&lt;=2,"0-2 yrs",IF(E280&lt;=5,"3-5 yrs",IF(E280&lt;=10,"6-10 yrs","10+ yrs")))</f>
        <v>6-10 yrs</v>
      </c>
      <c r="K280" s="11" t="str">
        <f aca="false">IF(F280&lt;35000,"Low",IF(F280&lt;70000,"Medium","High"))</f>
        <v>Medium</v>
      </c>
    </row>
    <row r="281" customFormat="false" ht="15" hidden="false" customHeight="false" outlineLevel="0" collapsed="false">
      <c r="A281" s="11" t="s">
        <v>326</v>
      </c>
      <c r="B281" s="11" t="s">
        <v>46</v>
      </c>
      <c r="C281" s="11" t="s">
        <v>37</v>
      </c>
      <c r="D281" s="11" t="n">
        <v>53</v>
      </c>
      <c r="E281" s="11" t="n">
        <v>4</v>
      </c>
      <c r="F281" s="12" t="n">
        <v>57700</v>
      </c>
      <c r="G281" s="11" t="n">
        <v>3</v>
      </c>
      <c r="H281" s="11" t="s">
        <v>43</v>
      </c>
      <c r="I281" s="11" t="s">
        <v>43</v>
      </c>
      <c r="J281" s="11" t="str">
        <f aca="false">IF(E281&lt;=2,"0-2 yrs",IF(E281&lt;=5,"3-5 yrs",IF(E281&lt;=10,"6-10 yrs","10+ yrs")))</f>
        <v>3-5 yrs</v>
      </c>
      <c r="K281" s="11" t="str">
        <f aca="false">IF(F281&lt;35000,"Low",IF(F281&lt;70000,"Medium","High"))</f>
        <v>Medium</v>
      </c>
    </row>
    <row r="282" customFormat="false" ht="15" hidden="false" customHeight="false" outlineLevel="0" collapsed="false">
      <c r="A282" s="11" t="s">
        <v>327</v>
      </c>
      <c r="B282" s="11" t="s">
        <v>54</v>
      </c>
      <c r="C282" s="11" t="s">
        <v>37</v>
      </c>
      <c r="D282" s="11" t="n">
        <v>50</v>
      </c>
      <c r="E282" s="11" t="n">
        <v>4</v>
      </c>
      <c r="F282" s="12" t="n">
        <v>59500</v>
      </c>
      <c r="G282" s="11" t="n">
        <v>3</v>
      </c>
      <c r="H282" s="11" t="s">
        <v>38</v>
      </c>
      <c r="I282" s="11" t="s">
        <v>43</v>
      </c>
      <c r="J282" s="11" t="str">
        <f aca="false">IF(E282&lt;=2,"0-2 yrs",IF(E282&lt;=5,"3-5 yrs",IF(E282&lt;=10,"6-10 yrs","10+ yrs")))</f>
        <v>3-5 yrs</v>
      </c>
      <c r="K282" s="11" t="str">
        <f aca="false">IF(F282&lt;35000,"Low",IF(F282&lt;70000,"Medium","High"))</f>
        <v>Medium</v>
      </c>
    </row>
    <row r="283" customFormat="false" ht="15" hidden="false" customHeight="false" outlineLevel="0" collapsed="false">
      <c r="A283" s="11" t="s">
        <v>328</v>
      </c>
      <c r="B283" s="11" t="s">
        <v>41</v>
      </c>
      <c r="C283" s="11" t="s">
        <v>42</v>
      </c>
      <c r="D283" s="11" t="n">
        <v>53</v>
      </c>
      <c r="E283" s="11" t="n">
        <v>14</v>
      </c>
      <c r="F283" s="12" t="n">
        <v>57200</v>
      </c>
      <c r="G283" s="11" t="n">
        <v>1</v>
      </c>
      <c r="H283" s="11" t="s">
        <v>38</v>
      </c>
      <c r="I283" s="11" t="s">
        <v>43</v>
      </c>
      <c r="J283" s="11" t="str">
        <f aca="false">IF(E283&lt;=2,"0-2 yrs",IF(E283&lt;=5,"3-5 yrs",IF(E283&lt;=10,"6-10 yrs","10+ yrs")))</f>
        <v>10+ yrs</v>
      </c>
      <c r="K283" s="11" t="str">
        <f aca="false">IF(F283&lt;35000,"Low",IF(F283&lt;70000,"Medium","High"))</f>
        <v>Medium</v>
      </c>
    </row>
    <row r="284" customFormat="false" ht="15" hidden="false" customHeight="false" outlineLevel="0" collapsed="false">
      <c r="A284" s="11" t="s">
        <v>329</v>
      </c>
      <c r="B284" s="11" t="s">
        <v>51</v>
      </c>
      <c r="C284" s="11" t="s">
        <v>37</v>
      </c>
      <c r="D284" s="11" t="n">
        <v>31</v>
      </c>
      <c r="E284" s="11" t="n">
        <v>11</v>
      </c>
      <c r="F284" s="12" t="n">
        <v>97700</v>
      </c>
      <c r="G284" s="11" t="n">
        <v>2</v>
      </c>
      <c r="H284" s="11" t="s">
        <v>43</v>
      </c>
      <c r="I284" s="11" t="s">
        <v>43</v>
      </c>
      <c r="J284" s="11" t="str">
        <f aca="false">IF(E284&lt;=2,"0-2 yrs",IF(E284&lt;=5,"3-5 yrs",IF(E284&lt;=10,"6-10 yrs","10+ yrs")))</f>
        <v>10+ yrs</v>
      </c>
      <c r="K284" s="11" t="str">
        <f aca="false">IF(F284&lt;35000,"Low",IF(F284&lt;70000,"Medium","High"))</f>
        <v>High</v>
      </c>
    </row>
    <row r="285" customFormat="false" ht="15" hidden="false" customHeight="false" outlineLevel="0" collapsed="false">
      <c r="A285" s="11" t="s">
        <v>330</v>
      </c>
      <c r="B285" s="11" t="s">
        <v>51</v>
      </c>
      <c r="C285" s="11" t="s">
        <v>37</v>
      </c>
      <c r="D285" s="11" t="n">
        <v>49</v>
      </c>
      <c r="E285" s="11" t="n">
        <v>7</v>
      </c>
      <c r="F285" s="12" t="n">
        <v>70800</v>
      </c>
      <c r="G285" s="11" t="n">
        <v>3</v>
      </c>
      <c r="H285" s="11" t="s">
        <v>43</v>
      </c>
      <c r="I285" s="11" t="s">
        <v>43</v>
      </c>
      <c r="J285" s="11" t="str">
        <f aca="false">IF(E285&lt;=2,"0-2 yrs",IF(E285&lt;=5,"3-5 yrs",IF(E285&lt;=10,"6-10 yrs","10+ yrs")))</f>
        <v>6-10 yrs</v>
      </c>
      <c r="K285" s="11" t="str">
        <f aca="false">IF(F285&lt;35000,"Low",IF(F285&lt;70000,"Medium","High"))</f>
        <v>High</v>
      </c>
    </row>
    <row r="286" customFormat="false" ht="15" hidden="false" customHeight="false" outlineLevel="0" collapsed="false">
      <c r="A286" s="11" t="s">
        <v>331</v>
      </c>
      <c r="B286" s="11" t="s">
        <v>36</v>
      </c>
      <c r="C286" s="11" t="s">
        <v>37</v>
      </c>
      <c r="D286" s="11" t="n">
        <v>33</v>
      </c>
      <c r="E286" s="11" t="n">
        <v>1</v>
      </c>
      <c r="F286" s="12" t="n">
        <v>44000</v>
      </c>
      <c r="G286" s="11" t="n">
        <v>4</v>
      </c>
      <c r="H286" s="11" t="s">
        <v>38</v>
      </c>
      <c r="I286" s="11" t="s">
        <v>38</v>
      </c>
      <c r="J286" s="11" t="str">
        <f aca="false">IF(E286&lt;=2,"0-2 yrs",IF(E286&lt;=5,"3-5 yrs",IF(E286&lt;=10,"6-10 yrs","10+ yrs")))</f>
        <v>0-2 yrs</v>
      </c>
      <c r="K286" s="11" t="str">
        <f aca="false">IF(F286&lt;35000,"Low",IF(F286&lt;70000,"Medium","High"))</f>
        <v>Medium</v>
      </c>
    </row>
    <row r="287" customFormat="false" ht="15" hidden="false" customHeight="false" outlineLevel="0" collapsed="false">
      <c r="A287" s="11" t="s">
        <v>332</v>
      </c>
      <c r="B287" s="11" t="s">
        <v>41</v>
      </c>
      <c r="C287" s="11" t="s">
        <v>37</v>
      </c>
      <c r="D287" s="11" t="n">
        <v>40</v>
      </c>
      <c r="E287" s="11" t="n">
        <v>1</v>
      </c>
      <c r="F287" s="12" t="n">
        <v>56100</v>
      </c>
      <c r="G287" s="11" t="n">
        <v>3</v>
      </c>
      <c r="H287" s="11" t="s">
        <v>38</v>
      </c>
      <c r="I287" s="11" t="s">
        <v>43</v>
      </c>
      <c r="J287" s="11" t="str">
        <f aca="false">IF(E287&lt;=2,"0-2 yrs",IF(E287&lt;=5,"3-5 yrs",IF(E287&lt;=10,"6-10 yrs","10+ yrs")))</f>
        <v>0-2 yrs</v>
      </c>
      <c r="K287" s="11" t="str">
        <f aca="false">IF(F287&lt;35000,"Low",IF(F287&lt;70000,"Medium","High"))</f>
        <v>Medium</v>
      </c>
    </row>
    <row r="288" customFormat="false" ht="15" hidden="false" customHeight="false" outlineLevel="0" collapsed="false">
      <c r="A288" s="11" t="s">
        <v>333</v>
      </c>
      <c r="B288" s="11" t="s">
        <v>36</v>
      </c>
      <c r="C288" s="11" t="s">
        <v>42</v>
      </c>
      <c r="D288" s="11" t="n">
        <v>30</v>
      </c>
      <c r="E288" s="11" t="n">
        <v>9</v>
      </c>
      <c r="F288" s="12" t="n">
        <v>60900</v>
      </c>
      <c r="G288" s="11" t="n">
        <v>4</v>
      </c>
      <c r="H288" s="11" t="s">
        <v>43</v>
      </c>
      <c r="I288" s="11" t="s">
        <v>43</v>
      </c>
      <c r="J288" s="11" t="str">
        <f aca="false">IF(E288&lt;=2,"0-2 yrs",IF(E288&lt;=5,"3-5 yrs",IF(E288&lt;=10,"6-10 yrs","10+ yrs")))</f>
        <v>6-10 yrs</v>
      </c>
      <c r="K288" s="11" t="str">
        <f aca="false">IF(F288&lt;35000,"Low",IF(F288&lt;70000,"Medium","High"))</f>
        <v>Medium</v>
      </c>
    </row>
    <row r="289" customFormat="false" ht="15" hidden="false" customHeight="false" outlineLevel="0" collapsed="false">
      <c r="A289" s="11" t="s">
        <v>334</v>
      </c>
      <c r="B289" s="11" t="s">
        <v>48</v>
      </c>
      <c r="C289" s="11" t="s">
        <v>37</v>
      </c>
      <c r="D289" s="11" t="n">
        <v>39</v>
      </c>
      <c r="E289" s="11" t="n">
        <v>5</v>
      </c>
      <c r="F289" s="12" t="n">
        <v>81500</v>
      </c>
      <c r="G289" s="11" t="n">
        <v>2</v>
      </c>
      <c r="H289" s="11" t="s">
        <v>38</v>
      </c>
      <c r="I289" s="11" t="s">
        <v>43</v>
      </c>
      <c r="J289" s="11" t="str">
        <f aca="false">IF(E289&lt;=2,"0-2 yrs",IF(E289&lt;=5,"3-5 yrs",IF(E289&lt;=10,"6-10 yrs","10+ yrs")))</f>
        <v>3-5 yrs</v>
      </c>
      <c r="K289" s="11" t="str">
        <f aca="false">IF(F289&lt;35000,"Low",IF(F289&lt;70000,"Medium","High"))</f>
        <v>High</v>
      </c>
    </row>
    <row r="290" customFormat="false" ht="15" hidden="false" customHeight="false" outlineLevel="0" collapsed="false">
      <c r="A290" s="11" t="s">
        <v>335</v>
      </c>
      <c r="B290" s="11" t="s">
        <v>51</v>
      </c>
      <c r="C290" s="11" t="s">
        <v>42</v>
      </c>
      <c r="D290" s="11" t="n">
        <v>43</v>
      </c>
      <c r="E290" s="11" t="n">
        <v>5</v>
      </c>
      <c r="F290" s="12" t="n">
        <v>85100</v>
      </c>
      <c r="G290" s="11" t="n">
        <v>1</v>
      </c>
      <c r="H290" s="11" t="s">
        <v>38</v>
      </c>
      <c r="I290" s="11" t="s">
        <v>43</v>
      </c>
      <c r="J290" s="11" t="str">
        <f aca="false">IF(E290&lt;=2,"0-2 yrs",IF(E290&lt;=5,"3-5 yrs",IF(E290&lt;=10,"6-10 yrs","10+ yrs")))</f>
        <v>3-5 yrs</v>
      </c>
      <c r="K290" s="11" t="str">
        <f aca="false">IF(F290&lt;35000,"Low",IF(F290&lt;70000,"Medium","High"))</f>
        <v>High</v>
      </c>
    </row>
    <row r="291" customFormat="false" ht="15" hidden="false" customHeight="false" outlineLevel="0" collapsed="false">
      <c r="A291" s="11" t="s">
        <v>336</v>
      </c>
      <c r="B291" s="11" t="s">
        <v>54</v>
      </c>
      <c r="C291" s="11" t="s">
        <v>37</v>
      </c>
      <c r="D291" s="11" t="n">
        <v>43</v>
      </c>
      <c r="E291" s="11" t="n">
        <v>7</v>
      </c>
      <c r="F291" s="12" t="n">
        <v>65100</v>
      </c>
      <c r="G291" s="11" t="n">
        <v>2</v>
      </c>
      <c r="H291" s="11" t="s">
        <v>38</v>
      </c>
      <c r="I291" s="11" t="s">
        <v>38</v>
      </c>
      <c r="J291" s="11" t="str">
        <f aca="false">IF(E291&lt;=2,"0-2 yrs",IF(E291&lt;=5,"3-5 yrs",IF(E291&lt;=10,"6-10 yrs","10+ yrs")))</f>
        <v>6-10 yrs</v>
      </c>
      <c r="K291" s="11" t="str">
        <f aca="false">IF(F291&lt;35000,"Low",IF(F291&lt;70000,"Medium","High"))</f>
        <v>Medium</v>
      </c>
    </row>
    <row r="292" customFormat="false" ht="15" hidden="false" customHeight="false" outlineLevel="0" collapsed="false">
      <c r="A292" s="11" t="s">
        <v>337</v>
      </c>
      <c r="B292" s="11" t="s">
        <v>41</v>
      </c>
      <c r="C292" s="11" t="s">
        <v>37</v>
      </c>
      <c r="D292" s="11" t="n">
        <v>57</v>
      </c>
      <c r="E292" s="11" t="n">
        <v>9</v>
      </c>
      <c r="F292" s="12" t="n">
        <v>52700</v>
      </c>
      <c r="G292" s="11" t="n">
        <v>3</v>
      </c>
      <c r="H292" s="11" t="s">
        <v>38</v>
      </c>
      <c r="I292" s="11" t="s">
        <v>43</v>
      </c>
      <c r="J292" s="11" t="str">
        <f aca="false">IF(E292&lt;=2,"0-2 yrs",IF(E292&lt;=5,"3-5 yrs",IF(E292&lt;=10,"6-10 yrs","10+ yrs")))</f>
        <v>6-10 yrs</v>
      </c>
      <c r="K292" s="11" t="str">
        <f aca="false">IF(F292&lt;35000,"Low",IF(F292&lt;70000,"Medium","High"))</f>
        <v>Medium</v>
      </c>
    </row>
    <row r="293" customFormat="false" ht="15" hidden="false" customHeight="false" outlineLevel="0" collapsed="false">
      <c r="A293" s="11" t="s">
        <v>338</v>
      </c>
      <c r="B293" s="11" t="s">
        <v>51</v>
      </c>
      <c r="C293" s="11" t="s">
        <v>37</v>
      </c>
      <c r="D293" s="11" t="n">
        <v>34</v>
      </c>
      <c r="E293" s="11" t="n">
        <v>2</v>
      </c>
      <c r="F293" s="12" t="n">
        <v>72800</v>
      </c>
      <c r="G293" s="11" t="n">
        <v>3</v>
      </c>
      <c r="H293" s="11" t="s">
        <v>43</v>
      </c>
      <c r="I293" s="11" t="s">
        <v>43</v>
      </c>
      <c r="J293" s="11" t="str">
        <f aca="false">IF(E293&lt;=2,"0-2 yrs",IF(E293&lt;=5,"3-5 yrs",IF(E293&lt;=10,"6-10 yrs","10+ yrs")))</f>
        <v>0-2 yrs</v>
      </c>
      <c r="K293" s="11" t="str">
        <f aca="false">IF(F293&lt;35000,"Low",IF(F293&lt;70000,"Medium","High"))</f>
        <v>High</v>
      </c>
    </row>
    <row r="294" customFormat="false" ht="15" hidden="false" customHeight="false" outlineLevel="0" collapsed="false">
      <c r="A294" s="11" t="s">
        <v>339</v>
      </c>
      <c r="B294" s="11" t="s">
        <v>41</v>
      </c>
      <c r="C294" s="11" t="s">
        <v>37</v>
      </c>
      <c r="D294" s="11" t="n">
        <v>27</v>
      </c>
      <c r="E294" s="11" t="n">
        <v>7</v>
      </c>
      <c r="F294" s="12" t="n">
        <v>56000</v>
      </c>
      <c r="G294" s="11" t="n">
        <v>3</v>
      </c>
      <c r="H294" s="11" t="s">
        <v>43</v>
      </c>
      <c r="I294" s="11" t="s">
        <v>43</v>
      </c>
      <c r="J294" s="11" t="str">
        <f aca="false">IF(E294&lt;=2,"0-2 yrs",IF(E294&lt;=5,"3-5 yrs",IF(E294&lt;=10,"6-10 yrs","10+ yrs")))</f>
        <v>6-10 yrs</v>
      </c>
      <c r="K294" s="11" t="str">
        <f aca="false">IF(F294&lt;35000,"Low",IF(F294&lt;70000,"Medium","High"))</f>
        <v>Medium</v>
      </c>
    </row>
    <row r="295" customFormat="false" ht="15" hidden="false" customHeight="false" outlineLevel="0" collapsed="false">
      <c r="A295" s="11" t="s">
        <v>340</v>
      </c>
      <c r="B295" s="11" t="s">
        <v>46</v>
      </c>
      <c r="C295" s="11" t="s">
        <v>42</v>
      </c>
      <c r="D295" s="11" t="n">
        <v>45</v>
      </c>
      <c r="E295" s="11" t="n">
        <v>3</v>
      </c>
      <c r="F295" s="12" t="n">
        <v>57000</v>
      </c>
      <c r="G295" s="11" t="n">
        <v>3</v>
      </c>
      <c r="H295" s="11" t="s">
        <v>43</v>
      </c>
      <c r="I295" s="11" t="s">
        <v>43</v>
      </c>
      <c r="J295" s="11" t="str">
        <f aca="false">IF(E295&lt;=2,"0-2 yrs",IF(E295&lt;=5,"3-5 yrs",IF(E295&lt;=10,"6-10 yrs","10+ yrs")))</f>
        <v>3-5 yrs</v>
      </c>
      <c r="K295" s="11" t="str">
        <f aca="false">IF(F295&lt;35000,"Low",IF(F295&lt;70000,"Medium","High"))</f>
        <v>Medium</v>
      </c>
    </row>
    <row r="296" customFormat="false" ht="15" hidden="false" customHeight="false" outlineLevel="0" collapsed="false">
      <c r="A296" s="11" t="s">
        <v>341</v>
      </c>
      <c r="B296" s="11" t="s">
        <v>41</v>
      </c>
      <c r="C296" s="11" t="s">
        <v>37</v>
      </c>
      <c r="D296" s="11" t="n">
        <v>36</v>
      </c>
      <c r="E296" s="11" t="n">
        <v>4</v>
      </c>
      <c r="F296" s="12" t="n">
        <v>48200</v>
      </c>
      <c r="G296" s="11" t="n">
        <v>4</v>
      </c>
      <c r="H296" s="11" t="s">
        <v>43</v>
      </c>
      <c r="I296" s="11" t="s">
        <v>43</v>
      </c>
      <c r="J296" s="11" t="str">
        <f aca="false">IF(E296&lt;=2,"0-2 yrs",IF(E296&lt;=5,"3-5 yrs",IF(E296&lt;=10,"6-10 yrs","10+ yrs")))</f>
        <v>3-5 yrs</v>
      </c>
      <c r="K296" s="11" t="str">
        <f aca="false">IF(F296&lt;35000,"Low",IF(F296&lt;70000,"Medium","High"))</f>
        <v>Medium</v>
      </c>
    </row>
    <row r="297" customFormat="false" ht="15" hidden="false" customHeight="false" outlineLevel="0" collapsed="false">
      <c r="A297" s="11" t="s">
        <v>342</v>
      </c>
      <c r="B297" s="11" t="s">
        <v>51</v>
      </c>
      <c r="C297" s="11" t="s">
        <v>37</v>
      </c>
      <c r="D297" s="11" t="n">
        <v>38</v>
      </c>
      <c r="E297" s="11" t="n">
        <v>1</v>
      </c>
      <c r="F297" s="12" t="n">
        <v>63100</v>
      </c>
      <c r="G297" s="11" t="n">
        <v>3</v>
      </c>
      <c r="H297" s="11" t="s">
        <v>38</v>
      </c>
      <c r="I297" s="11" t="s">
        <v>43</v>
      </c>
      <c r="J297" s="11" t="str">
        <f aca="false">IF(E297&lt;=2,"0-2 yrs",IF(E297&lt;=5,"3-5 yrs",IF(E297&lt;=10,"6-10 yrs","10+ yrs")))</f>
        <v>0-2 yrs</v>
      </c>
      <c r="K297" s="11" t="str">
        <f aca="false">IF(F297&lt;35000,"Low",IF(F297&lt;70000,"Medium","High"))</f>
        <v>Medium</v>
      </c>
    </row>
    <row r="298" customFormat="false" ht="15" hidden="false" customHeight="false" outlineLevel="0" collapsed="false">
      <c r="A298" s="11" t="s">
        <v>343</v>
      </c>
      <c r="B298" s="11" t="s">
        <v>36</v>
      </c>
      <c r="C298" s="11" t="s">
        <v>37</v>
      </c>
      <c r="D298" s="11" t="n">
        <v>31</v>
      </c>
      <c r="E298" s="11" t="n">
        <v>11</v>
      </c>
      <c r="F298" s="12" t="n">
        <v>42700</v>
      </c>
      <c r="G298" s="11" t="n">
        <v>3</v>
      </c>
      <c r="H298" s="11" t="s">
        <v>43</v>
      </c>
      <c r="I298" s="11" t="s">
        <v>43</v>
      </c>
      <c r="J298" s="11" t="str">
        <f aca="false">IF(E298&lt;=2,"0-2 yrs",IF(E298&lt;=5,"3-5 yrs",IF(E298&lt;=10,"6-10 yrs","10+ yrs")))</f>
        <v>10+ yrs</v>
      </c>
      <c r="K298" s="11" t="str">
        <f aca="false">IF(F298&lt;35000,"Low",IF(F298&lt;70000,"Medium","High"))</f>
        <v>Medium</v>
      </c>
    </row>
    <row r="299" customFormat="false" ht="15" hidden="false" customHeight="false" outlineLevel="0" collapsed="false">
      <c r="A299" s="11" t="s">
        <v>344</v>
      </c>
      <c r="B299" s="11" t="s">
        <v>48</v>
      </c>
      <c r="C299" s="11" t="s">
        <v>37</v>
      </c>
      <c r="D299" s="11" t="n">
        <v>46</v>
      </c>
      <c r="E299" s="11" t="n">
        <v>14</v>
      </c>
      <c r="F299" s="12" t="n">
        <v>82700</v>
      </c>
      <c r="G299" s="11" t="n">
        <v>3</v>
      </c>
      <c r="H299" s="11" t="s">
        <v>43</v>
      </c>
      <c r="I299" s="11" t="s">
        <v>43</v>
      </c>
      <c r="J299" s="11" t="str">
        <f aca="false">IF(E299&lt;=2,"0-2 yrs",IF(E299&lt;=5,"3-5 yrs",IF(E299&lt;=10,"6-10 yrs","10+ yrs")))</f>
        <v>10+ yrs</v>
      </c>
      <c r="K299" s="11" t="str">
        <f aca="false">IF(F299&lt;35000,"Low",IF(F299&lt;70000,"Medium","High"))</f>
        <v>High</v>
      </c>
    </row>
    <row r="300" customFormat="false" ht="15" hidden="false" customHeight="false" outlineLevel="0" collapsed="false">
      <c r="A300" s="11" t="s">
        <v>345</v>
      </c>
      <c r="B300" s="11" t="s">
        <v>48</v>
      </c>
      <c r="C300" s="11" t="s">
        <v>42</v>
      </c>
      <c r="D300" s="11" t="n">
        <v>52</v>
      </c>
      <c r="E300" s="11" t="n">
        <v>9</v>
      </c>
      <c r="F300" s="12" t="n">
        <v>68500</v>
      </c>
      <c r="G300" s="11" t="n">
        <v>3</v>
      </c>
      <c r="H300" s="11" t="s">
        <v>43</v>
      </c>
      <c r="I300" s="11" t="s">
        <v>43</v>
      </c>
      <c r="J300" s="11" t="str">
        <f aca="false">IF(E300&lt;=2,"0-2 yrs",IF(E300&lt;=5,"3-5 yrs",IF(E300&lt;=10,"6-10 yrs","10+ yrs")))</f>
        <v>6-10 yrs</v>
      </c>
      <c r="K300" s="11" t="str">
        <f aca="false">IF(F300&lt;35000,"Low",IF(F300&lt;70000,"Medium","High"))</f>
        <v>Medium</v>
      </c>
    </row>
    <row r="301" customFormat="false" ht="15" hidden="false" customHeight="false" outlineLevel="0" collapsed="false">
      <c r="A301" s="11" t="s">
        <v>346</v>
      </c>
      <c r="B301" s="11" t="s">
        <v>41</v>
      </c>
      <c r="C301" s="11" t="s">
        <v>37</v>
      </c>
      <c r="D301" s="11" t="n">
        <v>35</v>
      </c>
      <c r="E301" s="11" t="n">
        <v>4</v>
      </c>
      <c r="F301" s="12" t="n">
        <v>26000</v>
      </c>
      <c r="G301" s="11" t="n">
        <v>3</v>
      </c>
      <c r="H301" s="11" t="s">
        <v>38</v>
      </c>
      <c r="I301" s="11" t="s">
        <v>43</v>
      </c>
      <c r="J301" s="11" t="str">
        <f aca="false">IF(E301&lt;=2,"0-2 yrs",IF(E301&lt;=5,"3-5 yrs",IF(E301&lt;=10,"6-10 yrs","10+ yrs")))</f>
        <v>3-5 yrs</v>
      </c>
      <c r="K301" s="11" t="str">
        <f aca="false">IF(F301&lt;35000,"Low",IF(F301&lt;70000,"Medium","High"))</f>
        <v>Low</v>
      </c>
    </row>
  </sheetData>
  <conditionalFormatting sqref="I2:I301">
    <cfRule type="cellIs" priority="2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3" t="s">
        <v>347</v>
      </c>
    </row>
    <row r="2" customFormat="false" ht="15" hidden="false" customHeight="false" outlineLevel="0" collapsed="false">
      <c r="A2" s="3" t="s">
        <v>348</v>
      </c>
      <c r="B2" s="2" t="str">
        <f aca="false">IF(Dashboard!$B$3="All","*",Dashboard!$B$3)</f>
        <v>*</v>
      </c>
      <c r="C2" s="5" t="s">
        <v>349</v>
      </c>
    </row>
    <row r="4" customFormat="false" ht="15" hidden="false" customHeight="false" outlineLevel="0" collapsed="false">
      <c r="A4" s="14" t="s">
        <v>24</v>
      </c>
      <c r="B4" s="14" t="s">
        <v>17</v>
      </c>
      <c r="C4" s="14" t="s">
        <v>350</v>
      </c>
      <c r="D4" s="14" t="s">
        <v>351</v>
      </c>
    </row>
    <row r="5" customFormat="false" ht="15" hidden="false" customHeight="false" outlineLevel="0" collapsed="false">
      <c r="A5" s="15" t="s">
        <v>41</v>
      </c>
      <c r="B5" s="15" t="n">
        <f aca="false">COUNTIFS(Data!$B$2:$B$301,A5)</f>
        <v>64</v>
      </c>
      <c r="C5" s="15" t="n">
        <f aca="false">COUNTIFS(Data!$B$2:$B$301,A5,Data!$I$2:$I$301,"Yes")</f>
        <v>21</v>
      </c>
      <c r="D5" s="16" t="n">
        <f aca="false">IFERROR(C5/B5,0)</f>
        <v>0.328125</v>
      </c>
    </row>
    <row r="6" customFormat="false" ht="15" hidden="false" customHeight="false" outlineLevel="0" collapsed="false">
      <c r="A6" s="15" t="s">
        <v>51</v>
      </c>
      <c r="B6" s="15" t="n">
        <f aca="false">COUNTIFS(Data!$B$2:$B$301,A6)</f>
        <v>54</v>
      </c>
      <c r="C6" s="15" t="n">
        <f aca="false">COUNTIFS(Data!$B$2:$B$301,A6,Data!$I$2:$I$301,"Yes")</f>
        <v>13</v>
      </c>
      <c r="D6" s="16" t="n">
        <f aca="false">IFERROR(C6/B6,0)</f>
        <v>0.240740740740741</v>
      </c>
    </row>
    <row r="7" customFormat="false" ht="15" hidden="false" customHeight="false" outlineLevel="0" collapsed="false">
      <c r="A7" s="15" t="s">
        <v>54</v>
      </c>
      <c r="B7" s="15" t="n">
        <f aca="false">COUNTIFS(Data!$B$2:$B$301,A7)</f>
        <v>26</v>
      </c>
      <c r="C7" s="15" t="n">
        <f aca="false">COUNTIFS(Data!$B$2:$B$301,A7,Data!$I$2:$I$301,"Yes")</f>
        <v>5</v>
      </c>
      <c r="D7" s="16" t="n">
        <f aca="false">IFERROR(C7/B7,0)</f>
        <v>0.192307692307692</v>
      </c>
    </row>
    <row r="8" customFormat="false" ht="15" hidden="false" customHeight="false" outlineLevel="0" collapsed="false">
      <c r="A8" s="15" t="s">
        <v>48</v>
      </c>
      <c r="B8" s="15" t="n">
        <f aca="false">COUNTIFS(Data!$B$2:$B$301,A8)</f>
        <v>41</v>
      </c>
      <c r="C8" s="15" t="n">
        <f aca="false">COUNTIFS(Data!$B$2:$B$301,A8,Data!$I$2:$I$301,"Yes")</f>
        <v>7</v>
      </c>
      <c r="D8" s="16" t="n">
        <f aca="false">IFERROR(C8/B8,0)</f>
        <v>0.170731707317073</v>
      </c>
    </row>
    <row r="9" customFormat="false" ht="15" hidden="false" customHeight="false" outlineLevel="0" collapsed="false">
      <c r="A9" s="15" t="s">
        <v>36</v>
      </c>
      <c r="B9" s="15" t="n">
        <f aca="false">COUNTIFS(Data!$B$2:$B$301,A9)</f>
        <v>68</v>
      </c>
      <c r="C9" s="15" t="n">
        <f aca="false">COUNTIFS(Data!$B$2:$B$301,A9,Data!$I$2:$I$301,"Yes")</f>
        <v>16</v>
      </c>
      <c r="D9" s="16" t="n">
        <f aca="false">IFERROR(C9/B9,0)</f>
        <v>0.235294117647059</v>
      </c>
    </row>
    <row r="10" customFormat="false" ht="15" hidden="false" customHeight="false" outlineLevel="0" collapsed="false">
      <c r="A10" s="15" t="s">
        <v>46</v>
      </c>
      <c r="B10" s="15" t="n">
        <f aca="false">COUNTIFS(Data!$B$2:$B$301,A10)</f>
        <v>47</v>
      </c>
      <c r="C10" s="15" t="n">
        <f aca="false">COUNTIFS(Data!$B$2:$B$301,A10,Data!$I$2:$I$301,"Yes")</f>
        <v>12</v>
      </c>
      <c r="D10" s="16" t="n">
        <f aca="false">IFERROR(C10/B10,0)</f>
        <v>0.25531914893617</v>
      </c>
    </row>
    <row r="13" customFormat="false" ht="15" hidden="false" customHeight="false" outlineLevel="0" collapsed="false">
      <c r="A13" s="14" t="s">
        <v>30</v>
      </c>
      <c r="B13" s="14" t="s">
        <v>17</v>
      </c>
      <c r="C13" s="14" t="s">
        <v>350</v>
      </c>
      <c r="D13" s="14" t="s">
        <v>351</v>
      </c>
    </row>
    <row r="14" customFormat="false" ht="15" hidden="false" customHeight="false" outlineLevel="0" collapsed="false">
      <c r="A14" s="15" t="s">
        <v>38</v>
      </c>
      <c r="B14" s="15" t="n">
        <f aca="false">COUNTIFS(Data!$B$2:$B$301,$B$2,Data!$H$2:$H$301,A14)</f>
        <v>100</v>
      </c>
      <c r="C14" s="15" t="n">
        <f aca="false">COUNTIFS(Data!$B$2:$B$301,$B$2,Data!$H$2:$H$301,A14,Data!$I$2:$I$301,"Yes")</f>
        <v>40</v>
      </c>
      <c r="D14" s="16" t="n">
        <f aca="false">IFERROR(C14/B14,0)</f>
        <v>0.4</v>
      </c>
    </row>
    <row r="15" customFormat="false" ht="15" hidden="false" customHeight="false" outlineLevel="0" collapsed="false">
      <c r="A15" s="15" t="s">
        <v>43</v>
      </c>
      <c r="B15" s="15" t="n">
        <f aca="false">COUNTIFS(Data!$B$2:$B$301,$B$2,Data!$H$2:$H$301,A15)</f>
        <v>200</v>
      </c>
      <c r="C15" s="15" t="n">
        <f aca="false">COUNTIFS(Data!$B$2:$B$301,$B$2,Data!$H$2:$H$301,A15,Data!$I$2:$I$301,"Yes")</f>
        <v>34</v>
      </c>
      <c r="D15" s="16" t="n">
        <f aca="false">IFERROR(C15/B15,0)</f>
        <v>0.17</v>
      </c>
    </row>
    <row r="18" customFormat="false" ht="15" hidden="false" customHeight="false" outlineLevel="0" collapsed="false">
      <c r="A18" s="14" t="s">
        <v>352</v>
      </c>
      <c r="B18" s="14" t="s">
        <v>17</v>
      </c>
      <c r="C18" s="14" t="s">
        <v>350</v>
      </c>
      <c r="D18" s="14" t="s">
        <v>351</v>
      </c>
    </row>
    <row r="19" customFormat="false" ht="15" hidden="false" customHeight="false" outlineLevel="0" collapsed="false">
      <c r="A19" s="15" t="n">
        <v>1</v>
      </c>
      <c r="B19" s="15" t="n">
        <f aca="false">COUNTIFS(Data!$B$2:$B$301,$B$2,Data!$G$2:$G$301,A19)</f>
        <v>35</v>
      </c>
      <c r="C19" s="15" t="n">
        <f aca="false">COUNTIFS(Data!$B$2:$B$301,$B$2,Data!$G$2:$G$301,A19,Data!$I$2:$I$301,"Yes")</f>
        <v>12</v>
      </c>
      <c r="D19" s="16" t="n">
        <f aca="false">IFERROR(C19/B19,0)</f>
        <v>0.342857142857143</v>
      </c>
    </row>
    <row r="20" customFormat="false" ht="15" hidden="false" customHeight="false" outlineLevel="0" collapsed="false">
      <c r="A20" s="15" t="n">
        <v>2</v>
      </c>
      <c r="B20" s="15" t="n">
        <f aca="false">COUNTIFS(Data!$B$2:$B$301,$B$2,Data!$G$2:$G$301,A20)</f>
        <v>74</v>
      </c>
      <c r="C20" s="15" t="n">
        <f aca="false">COUNTIFS(Data!$B$2:$B$301,$B$2,Data!$G$2:$G$301,A20,Data!$I$2:$I$301,"Yes")</f>
        <v>22</v>
      </c>
      <c r="D20" s="16" t="n">
        <f aca="false">IFERROR(C20/B20,0)</f>
        <v>0.297297297297297</v>
      </c>
    </row>
    <row r="21" customFormat="false" ht="15" hidden="false" customHeight="false" outlineLevel="0" collapsed="false">
      <c r="A21" s="15" t="n">
        <v>3</v>
      </c>
      <c r="B21" s="15" t="n">
        <f aca="false">COUNTIFS(Data!$B$2:$B$301,$B$2,Data!$G$2:$G$301,A21)</f>
        <v>118</v>
      </c>
      <c r="C21" s="15" t="n">
        <f aca="false">COUNTIFS(Data!$B$2:$B$301,$B$2,Data!$G$2:$G$301,A21,Data!$I$2:$I$301,"Yes")</f>
        <v>29</v>
      </c>
      <c r="D21" s="16" t="n">
        <f aca="false">IFERROR(C21/B21,0)</f>
        <v>0.245762711864407</v>
      </c>
    </row>
    <row r="22" customFormat="false" ht="15" hidden="false" customHeight="false" outlineLevel="0" collapsed="false">
      <c r="A22" s="15" t="n">
        <v>4</v>
      </c>
      <c r="B22" s="15" t="n">
        <f aca="false">COUNTIFS(Data!$B$2:$B$301,$B$2,Data!$G$2:$G$301,A22)</f>
        <v>73</v>
      </c>
      <c r="C22" s="15" t="n">
        <f aca="false">COUNTIFS(Data!$B$2:$B$301,$B$2,Data!$G$2:$G$301,A22,Data!$I$2:$I$301,"Yes")</f>
        <v>11</v>
      </c>
      <c r="D22" s="16" t="n">
        <f aca="false">IFERROR(C22/B22,0)</f>
        <v>0.150684931506849</v>
      </c>
    </row>
    <row r="25" customFormat="false" ht="15" hidden="false" customHeight="false" outlineLevel="0" collapsed="false">
      <c r="A25" s="14" t="s">
        <v>32</v>
      </c>
      <c r="B25" s="14" t="s">
        <v>17</v>
      </c>
      <c r="C25" s="14" t="s">
        <v>350</v>
      </c>
      <c r="D25" s="14" t="s">
        <v>351</v>
      </c>
    </row>
    <row r="26" customFormat="false" ht="15" hidden="false" customHeight="false" outlineLevel="0" collapsed="false">
      <c r="A26" s="15" t="s">
        <v>353</v>
      </c>
      <c r="B26" s="15" t="n">
        <f aca="false">COUNTIFS(Data!$B$2:$B$301,$B$2,Data!$J$2:$J$301,A26)</f>
        <v>71</v>
      </c>
      <c r="C26" s="15" t="n">
        <f aca="false">COUNTIFS(Data!$B$2:$B$301,$B$2,Data!$J$2:$J$301,A26,Data!$I$2:$I$301,"Yes")</f>
        <v>25</v>
      </c>
      <c r="D26" s="16" t="n">
        <f aca="false">IFERROR(C26/B26,0)</f>
        <v>0.352112676056338</v>
      </c>
    </row>
    <row r="27" customFormat="false" ht="15" hidden="false" customHeight="false" outlineLevel="0" collapsed="false">
      <c r="A27" s="15" t="s">
        <v>354</v>
      </c>
      <c r="B27" s="15" t="n">
        <f aca="false">COUNTIFS(Data!$B$2:$B$301,$B$2,Data!$J$2:$J$301,A27)</f>
        <v>68</v>
      </c>
      <c r="C27" s="15" t="n">
        <f aca="false">COUNTIFS(Data!$B$2:$B$301,$B$2,Data!$J$2:$J$301,A27,Data!$I$2:$I$301,"Yes")</f>
        <v>11</v>
      </c>
      <c r="D27" s="16" t="n">
        <f aca="false">IFERROR(C27/B27,0)</f>
        <v>0.161764705882353</v>
      </c>
    </row>
    <row r="28" customFormat="false" ht="15" hidden="false" customHeight="false" outlineLevel="0" collapsed="false">
      <c r="A28" s="15" t="s">
        <v>355</v>
      </c>
      <c r="B28" s="15" t="n">
        <f aca="false">COUNTIFS(Data!$B$2:$B$301,$B$2,Data!$J$2:$J$301,A28)</f>
        <v>90</v>
      </c>
      <c r="C28" s="15" t="n">
        <f aca="false">COUNTIFS(Data!$B$2:$B$301,$B$2,Data!$J$2:$J$301,A28,Data!$I$2:$I$301,"Yes")</f>
        <v>20</v>
      </c>
      <c r="D28" s="16" t="n">
        <f aca="false">IFERROR(C28/B28,0)</f>
        <v>0.222222222222222</v>
      </c>
    </row>
    <row r="29" customFormat="false" ht="15" hidden="false" customHeight="false" outlineLevel="0" collapsed="false">
      <c r="A29" s="15" t="s">
        <v>356</v>
      </c>
      <c r="B29" s="15" t="n">
        <f aca="false">COUNTIFS(Data!$B$2:$B$301,$B$2,Data!$J$2:$J$301,A29)</f>
        <v>71</v>
      </c>
      <c r="C29" s="15" t="n">
        <f aca="false">COUNTIFS(Data!$B$2:$B$301,$B$2,Data!$J$2:$J$301,A29,Data!$I$2:$I$301,"Yes")</f>
        <v>18</v>
      </c>
      <c r="D29" s="16" t="n">
        <f aca="false">IFERROR(C29/B29,0)</f>
        <v>0.253521126760563</v>
      </c>
    </row>
    <row r="32" customFormat="false" ht="15" hidden="false" customHeight="false" outlineLevel="0" collapsed="false">
      <c r="A32" s="14" t="s">
        <v>33</v>
      </c>
      <c r="B32" s="14" t="s">
        <v>17</v>
      </c>
      <c r="C32" s="14" t="s">
        <v>350</v>
      </c>
      <c r="D32" s="14" t="s">
        <v>351</v>
      </c>
    </row>
    <row r="33" customFormat="false" ht="15" hidden="false" customHeight="false" outlineLevel="0" collapsed="false">
      <c r="A33" s="15" t="s">
        <v>357</v>
      </c>
      <c r="B33" s="15" t="n">
        <f aca="false">COUNTIFS(Data!$B$2:$B$301,$B$2,Data!$K$2:$K$301,A33)</f>
        <v>9</v>
      </c>
      <c r="C33" s="15" t="n">
        <f aca="false">COUNTIFS(Data!$B$2:$B$301,$B$2,Data!$K$2:$K$301,A33,Data!$I$2:$I$301,"Yes")</f>
        <v>3</v>
      </c>
      <c r="D33" s="16" t="n">
        <f aca="false">IFERROR(C33/B33,0)</f>
        <v>0.333333333333333</v>
      </c>
    </row>
    <row r="34" customFormat="false" ht="15" hidden="false" customHeight="false" outlineLevel="0" collapsed="false">
      <c r="A34" s="15" t="s">
        <v>358</v>
      </c>
      <c r="B34" s="15" t="n">
        <f aca="false">COUNTIFS(Data!$B$2:$B$301,$B$2,Data!$K$2:$K$301,A34)</f>
        <v>202</v>
      </c>
      <c r="C34" s="15" t="n">
        <f aca="false">COUNTIFS(Data!$B$2:$B$301,$B$2,Data!$K$2:$K$301,A34,Data!$I$2:$I$301,"Yes")</f>
        <v>48</v>
      </c>
      <c r="D34" s="16" t="n">
        <f aca="false">IFERROR(C34/B34,0)</f>
        <v>0.237623762376238</v>
      </c>
    </row>
    <row r="35" customFormat="false" ht="15" hidden="false" customHeight="false" outlineLevel="0" collapsed="false">
      <c r="A35" s="15" t="s">
        <v>359</v>
      </c>
      <c r="B35" s="15" t="n">
        <f aca="false">COUNTIFS(Data!$B$2:$B$301,$B$2,Data!$K$2:$K$301,A35)</f>
        <v>89</v>
      </c>
      <c r="C35" s="15" t="n">
        <f aca="false">COUNTIFS(Data!$B$2:$B$301,$B$2,Data!$K$2:$K$301,A35,Data!$I$2:$I$301,"Yes")</f>
        <v>23</v>
      </c>
      <c r="D35" s="16" t="n">
        <f aca="false">IFERROR(C35/B35,0)</f>
        <v>0.258426966292135</v>
      </c>
    </row>
  </sheetData>
  <conditionalFormatting sqref="D5:D10">
    <cfRule type="colorScale" priority="2">
      <colorScale>
        <cfvo type="min" val="0"/>
        <cfvo type="percentile" val="50"/>
        <cfvo type="max" val="0"/>
        <color rgb="FFC6E0B4"/>
        <color rgb="FFFFE699"/>
        <color rgb="FFF4B084"/>
      </colorScale>
    </cfRule>
  </conditionalFormatting>
  <conditionalFormatting sqref="D14:D15">
    <cfRule type="colorScale" priority="3">
      <colorScale>
        <cfvo type="min" val="0"/>
        <cfvo type="percentile" val="50"/>
        <cfvo type="max" val="0"/>
        <color rgb="FFC6E0B4"/>
        <color rgb="FFFFE699"/>
        <color rgb="FFF4B084"/>
      </colorScale>
    </cfRule>
  </conditionalFormatting>
  <conditionalFormatting sqref="D19:D22">
    <cfRule type="colorScale" priority="4">
      <colorScale>
        <cfvo type="min" val="0"/>
        <cfvo type="percentile" val="50"/>
        <cfvo type="max" val="0"/>
        <color rgb="FFC6E0B4"/>
        <color rgb="FFFFE699"/>
        <color rgb="FFF4B084"/>
      </colorScale>
    </cfRule>
  </conditionalFormatting>
  <conditionalFormatting sqref="D26:D29">
    <cfRule type="colorScale" priority="5">
      <colorScale>
        <cfvo type="min" val="0"/>
        <cfvo type="percentile" val="50"/>
        <cfvo type="max" val="0"/>
        <color rgb="FFC6E0B4"/>
        <color rgb="FFFFE699"/>
        <color rgb="FFF4B084"/>
      </colorScale>
    </cfRule>
  </conditionalFormatting>
  <conditionalFormatting sqref="D33:D35">
    <cfRule type="colorScale" priority="6">
      <colorScale>
        <cfvo type="min" val="0"/>
        <cfvo type="percentile" val="50"/>
        <cfvo type="max" val="0"/>
        <color rgb="FFC6E0B4"/>
        <color rgb="FFFFE699"/>
        <color rgb="FFF4B08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2026-10-01T10:10:36Z</dcterms:created>
  <dc:creator>openpyxl</dc:creator>
  <dc:description/>
  <dc:language>en-US</dc:language>
  <cp:lastModifiedBy/>
  <dcterms:modified xsi:type="dcterms:W3CDTF">2026-10-01T10:10:39Z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